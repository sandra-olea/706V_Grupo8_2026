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'RELEVANCIA-PUNTAJE'!$A$3</definedName>
    <definedName name="MR_TL">'RELEVANCIA-PUNTAJE'!$B$3</definedName>
    <definedName name="PR_TL">'RELEVANCIA-PUNTAJE'!$B$5</definedName>
    <definedName name="RE_ML">'RELEVANCIA-PUNTAJE'!$D$4</definedName>
    <definedName name="CL">'RELEVANCIA-PUNTAJE'!$B$2</definedName>
    <definedName name="MR_CL">'RELEVANCIA-PUNTAJE'!$B$3</definedName>
    <definedName name="MR_L">'RELEVANCIA-PUNTAJE'!$C$3</definedName>
    <definedName name="PR_NL">'RELEVANCIA-PUNTAJE'!$E$5</definedName>
    <definedName name="PR">'RELEVANCIA-PUNTAJE'!$A$5</definedName>
    <definedName name="RE_NL">'RELEVANCIA-PUNTAJE'!$E$4</definedName>
    <definedName name="ML">'RELEVANCIA-PUNTAJE'!$D$2</definedName>
    <definedName name="PR_ML">'RELEVANCIA-PUNTAJE'!$D$5</definedName>
    <definedName name="RE_TL">'RELEVANCIA-PUNTAJE'!$B$4</definedName>
    <definedName name="NL">'RELEVANCIA-PUNTAJE'!$E$2</definedName>
    <definedName name="TL">'RELEVANCIA-PUNTAJE'!$B$2</definedName>
    <definedName name="L">'RELEVANCIA-PUNTAJE'!$C$2</definedName>
    <definedName name="RE">'RELEVANCIA-PUNTAJE'!$A$4</definedName>
    <definedName name="MR_ML">'RELEVANCIA-PUNTAJE'!$D$3</definedName>
  </definedNames>
  <calcPr/>
  <extLst>
    <ext uri="GoogleSheetsCustomDataVersion2">
      <go:sheetsCustomData xmlns:go="http://customooxmlschemas.google.com/" r:id="rId10" roundtripDataChecksum="leY4hQ88FJRnCg0RqtDNx46Rqk05L6l2u9BX6Hpyxo0="/>
    </ext>
  </extLst>
</workbook>
</file>

<file path=xl/sharedStrings.xml><?xml version="1.0" encoding="utf-8"?>
<sst xmlns="http://schemas.openxmlformats.org/spreadsheetml/2006/main" count="189" uniqueCount="100">
  <si>
    <t>Indicador de Evaluación</t>
  </si>
  <si>
    <t>Puntaje</t>
  </si>
  <si>
    <t>PUNTOS</t>
  </si>
  <si>
    <t>Categorías de Respuesta</t>
  </si>
  <si>
    <t>NOTA</t>
  </si>
  <si>
    <t>Nota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</si>
  <si>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</si>
  <si>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</si>
  <si>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</si>
  <si>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</si>
  <si>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</si>
  <si>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</si>
  <si>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</si>
  <si>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</si>
  <si>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REYES QUIROGA NICOL</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</si>
  <si>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</si>
  <si>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</si>
  <si>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</si>
  <si>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</si>
  <si>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</si>
  <si>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</si>
  <si>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</si>
  <si>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</si>
  <si>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</si>
  <si>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</si>
  <si>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</si>
  <si>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</si>
  <si>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</si>
  <si>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</si>
  <si>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</si>
  <si>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</si>
  <si>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</si>
  <si>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</si>
  <si>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</si>
  <si>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</si>
  <si>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</si>
  <si>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</si>
  <si>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</si>
  <si>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</si>
  <si>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</si>
  <si>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</si>
  <si>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</si>
  <si>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</si>
  <si>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</si>
  <si>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</si>
  <si>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</si>
  <si>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</si>
  <si>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</si>
  <si>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</si>
  <si>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</si>
  <si>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</si>
  <si>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</si>
  <si>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</si>
  <si>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SALINAS OLAVE MATIAS FABIAN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</si>
  <si>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</si>
  <si>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</si>
  <si>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</si>
  <si>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</si>
  <si>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</si>
  <si>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</si>
  <si>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</si>
  <si>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</si>
  <si>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</si>
  <si>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</si>
  <si>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</si>
  <si>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</si>
  <si>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</si>
  <si>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</si>
  <si>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</si>
  <si>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</si>
  <si>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</si>
  <si>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</si>
  <si>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</si>
  <si>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</si>
  <si>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</si>
  <si>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</si>
  <si>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ALARCON VARGAS BRAULIO</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</si>
  <si>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</si>
  <si>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</si>
  <si>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</si>
  <si>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</si>
  <si>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</si>
  <si>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</si>
  <si>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ESCOBAR ROJAS BRYAN JACOB</t>
  </si>
  <si>
    <t>GARATE YANEZ NESTOR VALERIANO</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</si>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</sst>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Calibri"/>
      <scheme val="minor"/>
    </font>
    <font>
      <b/>
      <sz val="10.0"/>
      <color rgb="FFFFFFFF"/>
      <name val="Calibri"/>
    </font>
    <font>
      <color theme="1"/>
      <name val="Calibri"/>
      <scheme val="minor"/>
    </font>
    <font>
      <sz val="11.0"/>
      <color rgb="FF000000"/>
      <name val="Calibri"/>
    </font>
    <font/>
    <font>
      <b/>
      <sz val="11.0"/>
      <color rgb="FF000000"/>
      <name val="Calibri"/>
    </font>
    <font>
      <b/>
      <sz val="11.0"/>
      <color rgb="FFFFFFFF"/>
      <name val="Calibri"/>
    </font>
    <font>
      <sz val="9.0"/>
      <color theme="1"/>
      <name val="Arial"/>
    </font>
    <font>
      <sz val="10.0"/>
      <color rgb="FF000000"/>
      <name val="Calibri"/>
    </font>
    <font>
      <b/>
      <sz val="10.0"/>
      <color rgb="FF3B3838"/>
      <name val="Calibri"/>
    </font>
    <font>
      <sz val="9.0"/>
      <color rgb="FF000000"/>
      <name val="Arial"/>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2" fontId="1" numFmtId="0" xfId="0" applyAlignment="1" applyBorder="1" applyFill="1" applyFont="1">
      <alignment horizontal="center" shrinkToFit="0" vertical="center" wrapText="1"/>
    </xf>
    <xf borderId="3" fillId="3" fontId="3" numFmtId="9" xfId="0" applyAlignment="1" applyBorder="1" applyFill="1" applyFont="1" applyNumberFormat="1">
      <alignment horizontal="center" shrinkToFit="0" vertical="center" wrapText="1"/>
    </xf>
    <xf borderId="4" fillId="0" fontId="4" numFmtId="0" xfId="0" applyBorder="1" applyFont="1"/>
    <xf borderId="0" fillId="0" fontId="3" numFmtId="164" xfId="0" applyAlignment="1" applyFont="1" applyNumberFormat="1">
      <alignment horizontal="right"/>
    </xf>
    <xf borderId="5" fillId="0" fontId="4" numFmtId="0" xfId="0" applyBorder="1" applyFont="1"/>
    <xf borderId="6" fillId="4" fontId="3" numFmtId="9" xfId="0" applyAlignment="1" applyBorder="1" applyFill="1" applyFont="1" applyNumberFormat="1">
      <alignment horizontal="center" vertical="center"/>
    </xf>
    <xf borderId="7" fillId="0" fontId="4" numFmtId="0" xfId="0" applyBorder="1" applyFont="1"/>
    <xf borderId="0" fillId="0" fontId="3" numFmtId="164" xfId="0" applyFont="1" applyNumberFormat="1"/>
    <xf borderId="0" fillId="0" fontId="5" numFmtId="0" xfId="0" applyFont="1"/>
    <xf borderId="1" fillId="2" fontId="6"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8" fillId="0" fontId="4" numFmtId="0" xfId="0" applyBorder="1" applyFont="1"/>
    <xf borderId="9" fillId="2" fontId="6" numFmtId="0" xfId="0" applyAlignment="1" applyBorder="1" applyFill="1" applyFont="1">
      <alignment horizontal="center" shrinkToFit="0" vertical="center" wrapText="1"/>
    </xf>
    <xf borderId="0" fillId="0" fontId="3" numFmtId="0" xfId="0" applyAlignment="1" applyFont="1">
      <alignment horizontal="right" vertical="center"/>
    </xf>
    <xf borderId="9" fillId="2" fontId="1" numFmtId="0" xfId="0" applyAlignment="1" applyBorder="1" applyFill="1" applyFont="1">
      <alignment horizontal="center" shrinkToFit="0" vertical="center" wrapText="1"/>
    </xf>
    <xf borderId="3" fillId="0" fontId="7" numFmtId="0" xfId="0" applyAlignment="1" applyBorder="1" applyFont="1">
      <alignment readingOrder="0" shrinkToFit="0" vertical="bottom" wrapText="0"/>
    </xf>
    <xf borderId="10" fillId="0" fontId="4" numFmtId="0" xfId="0" applyBorder="1" applyFont="1"/>
    <xf borderId="11" fillId="2" fontId="1"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3" fillId="3" fontId="3" numFmtId="164" xfId="0" applyAlignment="1" applyBorder="1" applyFill="1" applyFont="1" applyNumberFormat="1">
      <alignment horizontal="center"/>
    </xf>
    <xf borderId="1" fillId="0" fontId="9"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3" fillId="4" fontId="3" numFmtId="164" xfId="0" applyAlignment="1" applyBorder="1" applyFill="1" applyFont="1" applyNumberFormat="1">
      <alignment horizontal="center"/>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2"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5" fillId="0" fontId="10" numFmtId="0" xfId="0" applyAlignment="1" applyBorder="1" applyFont="1">
      <alignment readingOrder="0" shrinkToFit="0" vertical="bottom" wrapText="0"/>
    </xf>
    <xf borderId="0" fillId="0" fontId="2" numFmtId="0" xfId="0" applyAlignment="1" applyFont="1">
      <alignment readingOrder="0"/>
    </xf>
    <xf borderId="6" fillId="5" fontId="11" numFmtId="0" xfId="0" applyAlignment="1" applyBorder="1" applyFill="1" applyFont="1">
      <alignment horizontal="center" textRotation="255" vertical="center"/>
    </xf>
    <xf borderId="3" fillId="6" fontId="12" numFmtId="0" xfId="0" applyAlignment="1" applyBorder="1" applyFill="1" applyFont="1">
      <alignment horizontal="center" vertical="center"/>
    </xf>
    <xf borderId="6" fillId="6" fontId="13" numFmtId="0" xfId="0" applyAlignment="1" applyBorder="1" applyFill="1" applyFont="1">
      <alignment horizontal="center" vertical="center"/>
    </xf>
    <xf borderId="16" fillId="6" fontId="13" numFmtId="0" xfId="0" applyAlignment="1" applyBorder="1" applyFill="1" applyFont="1">
      <alignment horizontal="center" vertical="center"/>
    </xf>
    <xf borderId="17" fillId="0" fontId="4" numFmtId="0" xfId="0" applyBorder="1" applyFont="1"/>
    <xf borderId="15" fillId="0" fontId="4" numFmtId="0" xfId="0" applyBorder="1" applyFont="1"/>
    <xf borderId="18" fillId="0" fontId="4" numFmtId="0" xfId="0" applyBorder="1" applyFont="1"/>
    <xf borderId="19" fillId="6" fontId="13" numFmtId="0" xfId="0" applyAlignment="1" applyBorder="1" applyFill="1" applyFont="1">
      <alignment horizontal="center" vertical="center"/>
    </xf>
    <xf borderId="3" fillId="0" fontId="14" numFmtId="0" xfId="0" applyAlignment="1" applyBorder="1" applyFont="1">
      <alignment horizontal="left" shrinkToFit="0" vertical="center" wrapText="1"/>
    </xf>
    <xf borderId="15" fillId="0" fontId="8" numFmtId="0" xfId="0" applyAlignment="1" applyBorder="1" applyFont="1">
      <alignment horizontal="left" vertical="center"/>
    </xf>
    <xf borderId="3" fillId="0" fontId="8"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4" numFmtId="0" xfId="0" applyAlignment="1" applyBorder="1" applyFont="1">
      <alignment horizontal="right" shrinkToFit="0" vertical="center" wrapText="1"/>
    </xf>
    <xf borderId="6" fillId="0" fontId="15" numFmtId="0" xfId="0" applyBorder="1" applyFont="1"/>
    <xf borderId="3" fillId="7" fontId="3" numFmtId="0" xfId="0" applyBorder="1" applyFill="1" applyFont="1"/>
    <xf borderId="16" fillId="0" fontId="14" numFmtId="0" xfId="0" applyAlignment="1" applyBorder="1" applyFont="1">
      <alignment horizontal="right" shrinkToFit="0" vertical="center" wrapText="1"/>
    </xf>
    <xf borderId="3" fillId="0" fontId="15" numFmtId="164" xfId="0" applyBorder="1" applyFont="1" applyNumberFormat="1"/>
    <xf borderId="6" fillId="8" fontId="3" numFmtId="0" xfId="0" applyAlignment="1" applyBorder="1" applyFill="1" applyFont="1">
      <alignment horizontal="center" textRotation="255" vertical="center"/>
    </xf>
    <xf borderId="6" fillId="4" fontId="3" numFmtId="0" xfId="0" applyAlignment="1" applyBorder="1" applyFill="1" applyFont="1">
      <alignment horizontal="right" vertical="center"/>
    </xf>
    <xf borderId="29" fillId="0" fontId="16"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 fillId="6" fontId="13" numFmtId="0" xfId="0" applyAlignment="1" applyBorder="1" applyFill="1" applyFont="1">
      <alignment horizontal="center" vertical="center"/>
    </xf>
    <xf borderId="15" fillId="0" fontId="8" numFmtId="0" xfId="0" applyAlignment="1" applyBorder="1" applyFont="1">
      <alignment horizontal="left" readingOrder="0" vertical="center"/>
    </xf>
    <xf borderId="3" fillId="0" fontId="5" numFmtId="0" xfId="0" applyAlignment="1" applyBorder="1" applyFont="1">
      <alignment horizontal="right" shrinkToFit="0" vertical="center" wrapText="1"/>
    </xf>
    <xf borderId="3" fillId="0" fontId="15" numFmtId="0" xfId="0" applyBorder="1" applyFont="1"/>
    <xf borderId="3" fillId="0" fontId="14" numFmtId="0" xfId="0" applyAlignment="1" applyBorder="1" applyFont="1">
      <alignment horizontal="right" shrinkToFit="0" vertical="center" wrapText="1"/>
    </xf>
    <xf borderId="0" fillId="0" fontId="14" numFmtId="0" xfId="0" applyAlignment="1" applyFont="1">
      <alignment horizontal="right" shrinkToFit="0" vertical="center" wrapText="1"/>
    </xf>
    <xf borderId="0" fillId="0" fontId="15"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8">
        <v>1.0</v>
      </c>
    </row>
    <row r="3">
      <c r="B3" s="11" t="s">
        <v>7</v>
      </c>
      <c r="C3" s="13" t="s">
        <v>9</v>
      </c>
      <c r="D3" s="4" t="s">
        <v>11</v>
      </c>
      <c r="E3" s="14"/>
    </row>
    <row r="4">
      <c r="A4" s="16">
        <v>1.0</v>
      </c>
      <c r="B4" s="18" t="s">
        <v>14</v>
      </c>
      <c r="C4" s="26">
        <f>EVALUACION1!$C$23</f>
        <v>7</v>
      </c>
      <c r="D4" s="26">
        <f>$C$34</f>
        <v>7</v>
      </c>
      <c r="E4" s="30">
        <f t="shared" ref="E4:E8" si="1">C4*C$2+D4*D$2</f>
        <v>7</v>
      </c>
      <c r="G4" s="10"/>
    </row>
    <row r="5">
      <c r="A5" s="16">
        <v>2.0</v>
      </c>
      <c r="B5" s="18" t="s">
        <v>53</v>
      </c>
      <c r="C5" s="26">
        <f>EVALUACION1!$C$23</f>
        <v>7</v>
      </c>
      <c r="D5" s="26">
        <f>C46</f>
        <v>7</v>
      </c>
      <c r="E5" s="30">
        <f t="shared" si="1"/>
        <v>7</v>
      </c>
      <c r="G5" s="10"/>
    </row>
    <row r="6">
      <c r="A6" s="16">
        <v>3.0</v>
      </c>
      <c r="B6" s="18" t="s">
        <v>76</v>
      </c>
      <c r="C6" s="26">
        <f>EVALUACION1!$C$23</f>
        <v>7</v>
      </c>
      <c r="D6" s="26">
        <f>C57</f>
        <v>7</v>
      </c>
      <c r="E6" s="30">
        <f t="shared" si="1"/>
        <v>7</v>
      </c>
      <c r="G6" s="10"/>
    </row>
    <row r="7">
      <c r="A7" s="16">
        <v>4.0</v>
      </c>
      <c r="B7" s="36" t="s">
        <v>83</v>
      </c>
      <c r="C7" s="26">
        <f>EVALUACION1!$C$23</f>
        <v>7</v>
      </c>
      <c r="D7" s="26">
        <f>C68</f>
        <v>7</v>
      </c>
      <c r="E7" s="30">
        <f t="shared" si="1"/>
        <v>7</v>
      </c>
      <c r="G7" s="10"/>
    </row>
    <row r="8">
      <c r="A8" s="37">
        <v>5.0</v>
      </c>
      <c r="B8" s="18" t="s">
        <v>84</v>
      </c>
      <c r="C8" s="26">
        <f>EVALUACION1!$C$23</f>
        <v>7</v>
      </c>
      <c r="D8" s="26">
        <f>C79</f>
        <v>7</v>
      </c>
      <c r="E8" s="30">
        <f t="shared" si="1"/>
        <v>7</v>
      </c>
    </row>
    <row r="10" outlineLevel="1">
      <c r="A10" s="38" t="s">
        <v>85</v>
      </c>
      <c r="B10" s="39"/>
      <c r="C10" s="40" t="s">
        <v>86</v>
      </c>
      <c r="D10" s="41" t="s">
        <v>87</v>
      </c>
      <c r="E10" s="42"/>
      <c r="F10" s="42"/>
      <c r="G10" s="42"/>
      <c r="H10" s="42"/>
      <c r="I10" s="42"/>
      <c r="J10" s="42"/>
      <c r="K10" s="43"/>
    </row>
    <row r="11" outlineLevel="1">
      <c r="A11" s="44"/>
      <c r="B11" s="45" t="s">
        <v>88</v>
      </c>
      <c r="C11" s="14"/>
      <c r="D11" s="41" t="s">
        <v>89</v>
      </c>
      <c r="E11" s="43"/>
      <c r="F11" s="41" t="s">
        <v>90</v>
      </c>
      <c r="G11" s="43"/>
      <c r="H11" s="41" t="s">
        <v>91</v>
      </c>
      <c r="I11" s="43"/>
      <c r="J11" s="41" t="s">
        <v>13</v>
      </c>
      <c r="K11" s="43"/>
    </row>
    <row r="12" outlineLevel="1">
      <c r="A12" s="44"/>
      <c r="B12" s="46" t="str">
        <f>RUBRICA!A5</f>
        <v>1. Describe brevemente en qué consiste el Proyecto APT, justificando su relevancia para el campo laboral de su carrera.</v>
      </c>
      <c r="C12" s="47" t="s">
        <v>89</v>
      </c>
      <c r="D12" s="48" t="str">
        <f>IF($C12=CL,"X","")</f>
        <v>X</v>
      </c>
      <c r="E12" s="48">
        <f>IF(D12="X",100*0.1,"")</f>
        <v>10</v>
      </c>
      <c r="F12" s="48" t="str">
        <f>IF($C12=L,"X","")</f>
        <v/>
      </c>
      <c r="G12" s="48" t="str">
        <f>IF(F12="X",60*0.1,"")</f>
        <v/>
      </c>
      <c r="H12" s="48" t="str">
        <f>IF($C12=ML,"X","")</f>
        <v/>
      </c>
      <c r="I12" s="48" t="str">
        <f>IF(H12="X",30*0.1,"")</f>
        <v/>
      </c>
      <c r="J12" s="48" t="str">
        <f>IF($C12=NL,"X","")</f>
        <v/>
      </c>
      <c r="K12" s="48" t="str">
        <f t="shared" ref="K12:K21" si="2">IF($J12="X",0,"")</f>
        <v/>
      </c>
    </row>
    <row r="13" ht="26.25" customHeight="1" outlineLevel="1">
      <c r="A13" s="44"/>
      <c r="B13" s="46" t="str">
        <f>RUBRICA!A6</f>
        <v>2. Relaciona el Proyecto APT con las competencias del perfil de egreso de su Plan de Estudio.</v>
      </c>
      <c r="C13" s="47" t="s">
        <v>89</v>
      </c>
      <c r="D13" s="48" t="str">
        <f>IF($C13=CL,"X","")</f>
        <v>X</v>
      </c>
      <c r="E13" s="48">
        <f t="shared" ref="E13:E15" si="3">IF(D13="X",100*0.05,"")</f>
        <v>5</v>
      </c>
      <c r="F13" s="48" t="str">
        <f>IF($C13=L,"X","")</f>
        <v/>
      </c>
      <c r="G13" s="48" t="str">
        <f t="shared" ref="G13:G15" si="4">IF(F13="X",60*0.05,"")</f>
        <v/>
      </c>
      <c r="H13" s="48" t="str">
        <f>IF($C13=ML,"X","")</f>
        <v/>
      </c>
      <c r="I13" s="48" t="str">
        <f t="shared" ref="I13:I15" si="5">IF(H13="X",30*0.05,"")</f>
        <v/>
      </c>
      <c r="J13" s="48" t="str">
        <f>IF($C13=NL,"X","")</f>
        <v/>
      </c>
      <c r="K13" s="48" t="str">
        <f t="shared" si="2"/>
        <v/>
      </c>
    </row>
    <row r="14" outlineLevel="1">
      <c r="A14" s="44"/>
      <c r="B14" s="46" t="str">
        <f>RUBRICA!A8</f>
        <v>4.  Argumenta por qué el proyecto es factible de realizarse en el marco de la asignatura. </v>
      </c>
      <c r="C14" s="47" t="s">
        <v>89</v>
      </c>
      <c r="D14" s="48" t="str">
        <f>IF($C14=CL,"X","")</f>
        <v>X</v>
      </c>
      <c r="E14" s="48">
        <f t="shared" si="3"/>
        <v>5</v>
      </c>
      <c r="F14" s="48" t="str">
        <f>IF($C14=L,"X","")</f>
        <v/>
      </c>
      <c r="G14" s="48" t="str">
        <f t="shared" si="4"/>
        <v/>
      </c>
      <c r="H14" s="48" t="str">
        <f>IF($C14=ML,"X","")</f>
        <v/>
      </c>
      <c r="I14" s="48" t="str">
        <f t="shared" si="5"/>
        <v/>
      </c>
      <c r="J14" s="48" t="str">
        <f>IF($C14=NL,"X","")</f>
        <v/>
      </c>
      <c r="K14" s="48" t="str">
        <f t="shared" si="2"/>
        <v/>
      </c>
    </row>
    <row r="15" outlineLevel="1">
      <c r="A15" s="44"/>
      <c r="B15" s="46" t="str">
        <f>RUBRICA!A9</f>
        <v>5. Formula objetivos claros, concisos y coherentes con la disciplina y la situación a abordar. </v>
      </c>
      <c r="C15" s="47" t="s">
        <v>89</v>
      </c>
      <c r="D15" s="48" t="str">
        <f>IF($C15=CL,"X","")</f>
        <v>X</v>
      </c>
      <c r="E15" s="48">
        <f t="shared" si="3"/>
        <v>5</v>
      </c>
      <c r="F15" s="48" t="str">
        <f>IF($C15=L,"X","")</f>
        <v/>
      </c>
      <c r="G15" s="48" t="str">
        <f t="shared" si="4"/>
        <v/>
      </c>
      <c r="H15" s="48" t="str">
        <f>IF($C15=ML,"X","")</f>
        <v/>
      </c>
      <c r="I15" s="48" t="str">
        <f t="shared" si="5"/>
        <v/>
      </c>
      <c r="J15" s="48" t="str">
        <f>IF($C15=NL,"X","")</f>
        <v/>
      </c>
      <c r="K15" s="48" t="str">
        <f t="shared" si="2"/>
        <v/>
      </c>
    </row>
    <row r="16" outlineLevel="1">
      <c r="A16" s="44"/>
      <c r="B16" s="46" t="str">
        <f>RUBRICA!A10</f>
        <v>6. Propone una metodología de trabajo que permite alcanzar los objetivos propuestos y es pertinente con los requerimientos disciplinares.</v>
      </c>
      <c r="C16" s="47" t="s">
        <v>89</v>
      </c>
      <c r="D16" s="48" t="str">
        <f>IF($C16=CL,"X","")</f>
        <v>X</v>
      </c>
      <c r="E16" s="48">
        <f t="shared" ref="E16:E17" si="6">IF(D16="X",100*0.1,"")</f>
        <v>10</v>
      </c>
      <c r="F16" s="48" t="str">
        <f>IF($C16=L,"X","")</f>
        <v/>
      </c>
      <c r="G16" s="48" t="str">
        <f t="shared" ref="G16:G17" si="7">IF(F16="X",60*0.1,"")</f>
        <v/>
      </c>
      <c r="H16" s="48" t="str">
        <f>IF($C16=ML,"X","")</f>
        <v/>
      </c>
      <c r="I16" s="48" t="str">
        <f t="shared" ref="I16:I17" si="8">IF(H16="X",30*0.1,"")</f>
        <v/>
      </c>
      <c r="J16" s="48" t="str">
        <f>IF($C16=NL,"X","")</f>
        <v/>
      </c>
      <c r="K16" s="48" t="str">
        <f t="shared" si="2"/>
        <v/>
      </c>
    </row>
    <row r="17" outlineLevel="1">
      <c r="A17" s="44"/>
      <c r="B17" s="46" t="str">
        <f>RUBRICA!A11</f>
        <v>7. Establece un plan de trabajo para su proyecto APT considerando los recursos, duración, facilitadores y obstaculizadores en el desarrollo de las actividades. </v>
      </c>
      <c r="C17" s="47" t="s">
        <v>89</v>
      </c>
      <c r="D17" s="48" t="str">
        <f>IF($C17=CL,"X","")</f>
        <v>X</v>
      </c>
      <c r="E17" s="48">
        <f t="shared" si="6"/>
        <v>10</v>
      </c>
      <c r="F17" s="48" t="str">
        <f>IF($C17=L,"X","")</f>
        <v/>
      </c>
      <c r="G17" s="48" t="str">
        <f t="shared" si="7"/>
        <v/>
      </c>
      <c r="H17" s="48" t="str">
        <f>IF($C17=ML,"X","")</f>
        <v/>
      </c>
      <c r="I17" s="48" t="str">
        <f t="shared" si="8"/>
        <v/>
      </c>
      <c r="J17" s="48" t="str">
        <f>IF($C17=NL,"X","")</f>
        <v/>
      </c>
      <c r="K17" s="48" t="str">
        <f t="shared" si="2"/>
        <v/>
      </c>
    </row>
    <row r="18" outlineLevel="1">
      <c r="A18" s="44"/>
      <c r="B18" s="46" t="str">
        <f>RUBRICA!A12</f>
        <v>8. Determina evidencias, justificando cómo estas dan cuenta del logro de las actividades del Proyecto APT.</v>
      </c>
      <c r="C18" s="47" t="s">
        <v>89</v>
      </c>
      <c r="D18" s="48" t="str">
        <f>IF($C18=CL,"X","")</f>
        <v>X</v>
      </c>
      <c r="E18" s="48">
        <f t="shared" ref="E18:E20" si="9">IF(D18="X",100*0.05,"")</f>
        <v>5</v>
      </c>
      <c r="F18" s="48" t="str">
        <f>IF($C18=L,"X","")</f>
        <v/>
      </c>
      <c r="G18" s="48" t="str">
        <f t="shared" ref="G18:G20" si="10">IF(F18="X",60*0.05,"")</f>
        <v/>
      </c>
      <c r="H18" s="48" t="str">
        <f>IF($C18=ML,"X","")</f>
        <v/>
      </c>
      <c r="I18" s="48" t="str">
        <f t="shared" ref="I18:I20" si="11">IF(H18="X",30*0.05,"")</f>
        <v/>
      </c>
      <c r="J18" s="48" t="str">
        <f>IF($C18=NL,"X","")</f>
        <v/>
      </c>
      <c r="K18" s="48" t="str">
        <f t="shared" si="2"/>
        <v/>
      </c>
    </row>
    <row r="19" outlineLevel="1">
      <c r="A19" s="44"/>
      <c r="B19" s="46" t="str">
        <f>RUBRICA!A13</f>
        <v>9. Utiliza reglas de redacción, ortografía (literal, puntual, acentual) y las normas para citas y referencias. </v>
      </c>
      <c r="C19" s="47" t="s">
        <v>89</v>
      </c>
      <c r="D19" s="48" t="str">
        <f>IF($C19=CL,"X","")</f>
        <v>X</v>
      </c>
      <c r="E19" s="48">
        <f t="shared" si="9"/>
        <v>5</v>
      </c>
      <c r="F19" s="48" t="str">
        <f>IF($C19=L,"X","")</f>
        <v/>
      </c>
      <c r="G19" s="48" t="str">
        <f t="shared" si="10"/>
        <v/>
      </c>
      <c r="H19" s="48" t="str">
        <f>IF($C19=ML,"X","")</f>
        <v/>
      </c>
      <c r="I19" s="48" t="str">
        <f t="shared" si="11"/>
        <v/>
      </c>
      <c r="J19" s="48" t="str">
        <f>IF($C19=NL,"X","")</f>
        <v/>
      </c>
      <c r="K19" s="48" t="str">
        <f t="shared" si="2"/>
        <v/>
      </c>
    </row>
    <row r="20" ht="22.5" customHeight="1" outlineLevel="1">
      <c r="A20" s="44"/>
      <c r="B20" s="46" t="str">
        <f>RUBRICA!A14</f>
        <v>10. Cumple completando el contenido del informe de presentación del proyecto de acuerdo con la plantilla entregada.</v>
      </c>
      <c r="C20" s="47" t="s">
        <v>89</v>
      </c>
      <c r="D20" s="48" t="str">
        <f>IF($C20=CL,"X","")</f>
        <v>X</v>
      </c>
      <c r="E20" s="48">
        <f t="shared" si="9"/>
        <v>5</v>
      </c>
      <c r="F20" s="48" t="str">
        <f>IF($C20=L,"X","")</f>
        <v/>
      </c>
      <c r="G20" s="48" t="str">
        <f t="shared" si="10"/>
        <v/>
      </c>
      <c r="H20" s="48" t="str">
        <f>IF($C20=ML,"X","")</f>
        <v/>
      </c>
      <c r="I20" s="48" t="str">
        <f t="shared" si="11"/>
        <v/>
      </c>
      <c r="J20" s="48" t="str">
        <f>IF($C20=NL,"X","")</f>
        <v/>
      </c>
      <c r="K20" s="48" t="str">
        <f t="shared" si="2"/>
        <v/>
      </c>
    </row>
    <row r="21" ht="15.75" customHeight="1" outlineLevel="1">
      <c r="A21" s="44"/>
      <c r="B21" s="46" t="str">
        <f>RUBRICA!A16</f>
        <v>12. Desarrolla un plan de trabajo que permita del logro de los objetivos propuestos del proyecto de 
acuerdo a los tiempos para su desarrollo</v>
      </c>
      <c r="C21" s="47" t="s">
        <v>89</v>
      </c>
      <c r="D21" s="48" t="str">
        <f>IF($C21=CL,"X","")</f>
        <v>X</v>
      </c>
      <c r="E21" s="48">
        <f>IF(D21="X",100*0.1,"")</f>
        <v>10</v>
      </c>
      <c r="F21" s="48" t="str">
        <f>IF($C21=L,"X","")</f>
        <v/>
      </c>
      <c r="G21" s="48" t="str">
        <f>IF(F21="X",60*0.1,"")</f>
        <v/>
      </c>
      <c r="H21" s="48" t="str">
        <f>IF($C21=ML,"X","")</f>
        <v/>
      </c>
      <c r="I21" s="48" t="str">
        <f>IF(H21="X",30*0.1,"")</f>
        <v/>
      </c>
      <c r="J21" s="48" t="str">
        <f>IF($C21=NL,"X","")</f>
        <v/>
      </c>
      <c r="K21" s="48" t="str">
        <f t="shared" si="2"/>
        <v/>
      </c>
    </row>
    <row r="22" ht="15.75" customHeight="1" outlineLevel="1">
      <c r="A22" s="44"/>
      <c r="B22" s="59" t="s">
        <v>1</v>
      </c>
      <c r="C22" s="60">
        <f>E22+G22+I22+K22</f>
        <v>70</v>
      </c>
      <c r="D22" s="61"/>
      <c r="E22" s="61">
        <f>SUM(E12:E21)</f>
        <v>70</v>
      </c>
      <c r="F22" s="61"/>
      <c r="G22" s="61">
        <f>SUM(G12:G21)</f>
        <v>0</v>
      </c>
      <c r="H22" s="61"/>
      <c r="I22" s="61">
        <f>SUM(I12:I21)</f>
        <v>0</v>
      </c>
      <c r="J22" s="61"/>
      <c r="K22" s="61">
        <f>SUM(K12:K21)</f>
        <v>0</v>
      </c>
    </row>
    <row r="23" ht="15.75" customHeight="1" outlineLevel="1">
      <c r="A23" s="14"/>
      <c r="B23" s="62" t="s">
        <v>5</v>
      </c>
      <c r="C23" s="63">
        <f>VLOOKUP(C22,ESCALA_IEP!A2:B142,2,FALSE)</f>
        <v>7</v>
      </c>
    </row>
    <row r="24" ht="15.75" customHeight="1"/>
    <row r="25" ht="15.75" customHeight="1"/>
    <row r="26" ht="15.75" customHeight="1">
      <c r="A26" s="64" t="s">
        <v>95</v>
      </c>
      <c r="B26" s="65" t="s">
        <v>96</v>
      </c>
      <c r="C26" s="66" t="str">
        <f>$B$4</f>
        <v>REYES QUIROGA NICOL</v>
      </c>
      <c r="D26" s="67"/>
      <c r="E26" s="67"/>
      <c r="F26" s="67"/>
      <c r="G26" s="67"/>
      <c r="H26" s="67"/>
      <c r="I26" s="67"/>
      <c r="J26" s="67"/>
      <c r="K26" s="68"/>
    </row>
    <row r="27" ht="15.75" customHeight="1">
      <c r="A27" s="44"/>
      <c r="B27" s="14"/>
      <c r="C27" s="69"/>
      <c r="D27" s="70"/>
      <c r="E27" s="70"/>
      <c r="F27" s="70"/>
      <c r="G27" s="70"/>
      <c r="H27" s="70"/>
      <c r="I27" s="70"/>
      <c r="J27" s="70"/>
      <c r="K27" s="71"/>
    </row>
    <row r="28" ht="15.75" customHeight="1">
      <c r="A28" s="44"/>
      <c r="B28" s="39" t="s">
        <v>97</v>
      </c>
      <c r="C28" s="40" t="s">
        <v>86</v>
      </c>
      <c r="D28" s="41" t="s">
        <v>87</v>
      </c>
      <c r="E28" s="42"/>
      <c r="F28" s="42"/>
      <c r="G28" s="42"/>
      <c r="H28" s="42"/>
      <c r="I28" s="42"/>
      <c r="J28" s="42"/>
      <c r="K28" s="43"/>
    </row>
    <row r="29" ht="15.75" customHeight="1">
      <c r="A29" s="44"/>
      <c r="B29" s="72" t="s">
        <v>88</v>
      </c>
      <c r="C29" s="14"/>
      <c r="D29" s="41" t="s">
        <v>89</v>
      </c>
      <c r="E29" s="43"/>
      <c r="F29" s="41" t="s">
        <v>90</v>
      </c>
      <c r="G29" s="43"/>
      <c r="H29" s="41" t="s">
        <v>98</v>
      </c>
      <c r="I29" s="43"/>
      <c r="J29" s="41" t="s">
        <v>13</v>
      </c>
      <c r="K29" s="43"/>
    </row>
    <row r="30" ht="24.0" customHeight="1">
      <c r="A30" s="44"/>
      <c r="B30" s="46" t="str">
        <f>RUBRICA!A7</f>
        <v>3. Relaciona el Proyecto APT con sus intereses profesionales. *</v>
      </c>
      <c r="C30" s="47" t="s">
        <v>89</v>
      </c>
      <c r="D30" s="48" t="str">
        <f>IF($C30=CL,"X","")</f>
        <v>X</v>
      </c>
      <c r="E30" s="48">
        <f t="shared" ref="E30:E32" si="12">IF(D30="X",100*0.1,"")</f>
        <v>10</v>
      </c>
      <c r="F30" s="48" t="str">
        <f>IF($C30=L,"X","")</f>
        <v/>
      </c>
      <c r="G30" s="48" t="str">
        <f t="shared" ref="G30:G32" si="13">IF(F30="X",60*0.1,"")</f>
        <v/>
      </c>
      <c r="H30" s="48" t="str">
        <f>IF($C30=ML,"X","")</f>
        <v/>
      </c>
      <c r="I30" s="48" t="str">
        <f t="shared" ref="I30:I32" si="14">IF(H30="X",30*0.1,"")</f>
        <v/>
      </c>
      <c r="J30" s="48" t="str">
        <f>IF($C30=NL,"X","")</f>
        <v/>
      </c>
      <c r="K30" s="48" t="str">
        <f t="shared" ref="K30:K32" si="15">IF($J30="X",0,"")</f>
        <v/>
      </c>
    </row>
    <row r="31" ht="25.5" customHeight="1">
      <c r="A31" s="44"/>
      <c r="B31" s="46" t="str">
        <f>RUBRICA!A15</f>
        <v>11. Expone el tema utilizando un lenguaje técnico disciplinar al presentar la propuesta y responde evidenciando un manejo de la información. *</v>
      </c>
      <c r="C31" s="47" t="s">
        <v>89</v>
      </c>
      <c r="D31" s="48" t="str">
        <f>IF($C31=CL,"X","")</f>
        <v>X</v>
      </c>
      <c r="E31" s="48">
        <f t="shared" si="12"/>
        <v>10</v>
      </c>
      <c r="F31" s="48" t="str">
        <f>IF($C31=L,"X","")</f>
        <v/>
      </c>
      <c r="G31" s="48" t="str">
        <f t="shared" si="13"/>
        <v/>
      </c>
      <c r="H31" s="48" t="str">
        <f>IF($C31=ML,"X","")</f>
        <v/>
      </c>
      <c r="I31" s="48" t="str">
        <f t="shared" si="14"/>
        <v/>
      </c>
      <c r="J31" s="48" t="str">
        <f>IF($C31=NL,"X","")</f>
        <v/>
      </c>
      <c r="K31" s="48" t="str">
        <f t="shared" si="15"/>
        <v/>
      </c>
    </row>
    <row r="32" ht="15.75" customHeight="1">
      <c r="A32" s="44"/>
      <c r="B32" s="46" t="str">
        <f>RUBRICA!A17</f>
        <v>13. Colaboración y trabajo en equipo *</v>
      </c>
      <c r="C32" s="73" t="s">
        <v>89</v>
      </c>
      <c r="D32" s="48" t="str">
        <f>IF($C32=CL,"X","")</f>
        <v>X</v>
      </c>
      <c r="E32" s="48">
        <f t="shared" si="12"/>
        <v>10</v>
      </c>
      <c r="F32" s="48" t="str">
        <f>IF($C32=L,"X","")</f>
        <v/>
      </c>
      <c r="G32" s="48" t="str">
        <f t="shared" si="13"/>
        <v/>
      </c>
      <c r="H32" s="48" t="str">
        <f>IF($C32=ML,"X","")</f>
        <v/>
      </c>
      <c r="I32" s="48" t="str">
        <f t="shared" si="14"/>
        <v/>
      </c>
      <c r="J32" s="48" t="str">
        <f>IF($C32=NL,"X","")</f>
        <v/>
      </c>
      <c r="K32" s="48" t="str">
        <f t="shared" si="15"/>
        <v/>
      </c>
    </row>
    <row r="33" ht="15.75" customHeight="1">
      <c r="A33" s="44"/>
      <c r="B33" s="74" t="s">
        <v>99</v>
      </c>
      <c r="C33" s="75">
        <f>E33+G33+I33+K33</f>
        <v>30</v>
      </c>
      <c r="D33" s="61"/>
      <c r="E33" s="61">
        <f>SUM(E30:E32)</f>
        <v>30</v>
      </c>
      <c r="F33" s="61"/>
      <c r="G33" s="61">
        <f>SUM(G30:G32)</f>
        <v>0</v>
      </c>
      <c r="H33" s="61"/>
      <c r="I33" s="61">
        <f>SUM(I30:I32)</f>
        <v>0</v>
      </c>
      <c r="J33" s="61"/>
      <c r="K33" s="61">
        <f>SUM(K30:K32)</f>
        <v>0</v>
      </c>
    </row>
    <row r="34" ht="15.75" customHeight="1">
      <c r="A34" s="14"/>
      <c r="B34" s="76" t="s">
        <v>5</v>
      </c>
      <c r="C34" s="63">
        <f>VLOOKUP(C33,ESCALA_TRAB_EQUIP!A2:B62,2,FALSE)</f>
        <v>7</v>
      </c>
    </row>
    <row r="35" ht="15.75" customHeight="1">
      <c r="B35" s="77"/>
      <c r="C35" s="78"/>
    </row>
    <row r="36" ht="15.75" customHeight="1">
      <c r="B36" s="77"/>
      <c r="C36" s="78"/>
    </row>
    <row r="37" ht="15.75" customHeight="1"/>
    <row r="38" ht="15.75" customHeight="1">
      <c r="A38" s="64" t="s">
        <v>95</v>
      </c>
      <c r="B38" s="65" t="s">
        <v>96</v>
      </c>
      <c r="C38" s="66" t="str">
        <f>B5</f>
        <v>SALINAS OLAVE MATIAS FABIAN</v>
      </c>
      <c r="D38" s="67"/>
      <c r="E38" s="67"/>
      <c r="F38" s="67"/>
      <c r="G38" s="67"/>
      <c r="H38" s="67"/>
      <c r="I38" s="67"/>
      <c r="J38" s="67"/>
      <c r="K38" s="68"/>
    </row>
    <row r="39" ht="15.75" customHeight="1">
      <c r="A39" s="44"/>
      <c r="B39" s="14"/>
      <c r="C39" s="69"/>
      <c r="D39" s="70"/>
      <c r="E39" s="70"/>
      <c r="F39" s="70"/>
      <c r="G39" s="70"/>
      <c r="H39" s="70"/>
      <c r="I39" s="70"/>
      <c r="J39" s="70"/>
      <c r="K39" s="71"/>
    </row>
    <row r="40" ht="15.75" customHeight="1">
      <c r="A40" s="44"/>
      <c r="B40" s="39" t="s">
        <v>97</v>
      </c>
      <c r="C40" s="40" t="s">
        <v>86</v>
      </c>
      <c r="D40" s="41" t="s">
        <v>87</v>
      </c>
      <c r="E40" s="42"/>
      <c r="F40" s="42"/>
      <c r="G40" s="42"/>
      <c r="H40" s="42"/>
      <c r="I40" s="42"/>
      <c r="J40" s="42"/>
      <c r="K40" s="43"/>
    </row>
    <row r="41" ht="15.75" customHeight="1">
      <c r="A41" s="44"/>
      <c r="B41" s="72" t="s">
        <v>88</v>
      </c>
      <c r="C41" s="14"/>
      <c r="D41" s="41" t="s">
        <v>89</v>
      </c>
      <c r="E41" s="43"/>
      <c r="F41" s="41" t="s">
        <v>90</v>
      </c>
      <c r="G41" s="43"/>
      <c r="H41" s="41" t="s">
        <v>98</v>
      </c>
      <c r="I41" s="43"/>
      <c r="J41" s="41" t="s">
        <v>13</v>
      </c>
      <c r="K41" s="43"/>
    </row>
    <row r="42" ht="25.5" customHeight="1">
      <c r="A42" s="44"/>
      <c r="B42" s="46" t="str">
        <f>RUBRICA!A7</f>
        <v>3. Relaciona el Proyecto APT con sus intereses profesionales. *</v>
      </c>
      <c r="C42" s="47" t="s">
        <v>89</v>
      </c>
      <c r="D42" s="48" t="str">
        <f>IF($C42=CL,"X","")</f>
        <v>X</v>
      </c>
      <c r="E42" s="48">
        <f t="shared" ref="E42:E44" si="16">IF(D42="X",100*0.1,"")</f>
        <v>10</v>
      </c>
      <c r="F42" s="48" t="str">
        <f>IF($C42=L,"X","")</f>
        <v/>
      </c>
      <c r="G42" s="48" t="str">
        <f t="shared" ref="G42:G44" si="17">IF(F42="X",60*0.1,"")</f>
        <v/>
      </c>
      <c r="H42" s="48" t="str">
        <f>IF($C42=ML,"X","")</f>
        <v/>
      </c>
      <c r="I42" s="48" t="str">
        <f t="shared" ref="I42:I44" si="18">IF(H42="X",30*0.1,"")</f>
        <v/>
      </c>
      <c r="J42" s="48" t="str">
        <f>IF($C42=NL,"X","")</f>
        <v/>
      </c>
      <c r="K42" s="48" t="str">
        <f t="shared" ref="K42:K44" si="19">IF($J42="X",0,"")</f>
        <v/>
      </c>
    </row>
    <row r="43" ht="15.75" customHeight="1">
      <c r="A43" s="44"/>
      <c r="B43" s="46" t="str">
        <f>RUBRICA!A15</f>
        <v>11. Expone el tema utilizando un lenguaje técnico disciplinar al presentar la propuesta y responde evidenciando un manejo de la información. *</v>
      </c>
      <c r="C43" s="47" t="s">
        <v>89</v>
      </c>
      <c r="D43" s="48" t="str">
        <f>IF($C43=CL,"X","")</f>
        <v>X</v>
      </c>
      <c r="E43" s="48">
        <f t="shared" si="16"/>
        <v>10</v>
      </c>
      <c r="F43" s="48" t="str">
        <f>IF($C43=L,"X","")</f>
        <v/>
      </c>
      <c r="G43" s="48" t="str">
        <f t="shared" si="17"/>
        <v/>
      </c>
      <c r="H43" s="48" t="str">
        <f>IF($C43=ML,"X","")</f>
        <v/>
      </c>
      <c r="I43" s="48" t="str">
        <f t="shared" si="18"/>
        <v/>
      </c>
      <c r="J43" s="48" t="str">
        <f>IF($C43=NL,"X","")</f>
        <v/>
      </c>
      <c r="K43" s="48" t="str">
        <f t="shared" si="19"/>
        <v/>
      </c>
    </row>
    <row r="44" ht="15.75" customHeight="1">
      <c r="A44" s="44"/>
      <c r="B44" s="46" t="str">
        <f>RUBRICA!A17</f>
        <v>13. Colaboración y trabajo en equipo *</v>
      </c>
      <c r="C44" s="73" t="s">
        <v>89</v>
      </c>
      <c r="D44" s="48" t="str">
        <f>IF($C44=CL,"X","")</f>
        <v>X</v>
      </c>
      <c r="E44" s="48">
        <f t="shared" si="16"/>
        <v>10</v>
      </c>
      <c r="F44" s="48" t="str">
        <f>IF($C44=L,"X","")</f>
        <v/>
      </c>
      <c r="G44" s="48" t="str">
        <f t="shared" si="17"/>
        <v/>
      </c>
      <c r="H44" s="48" t="str">
        <f>IF($C44=ML,"X","")</f>
        <v/>
      </c>
      <c r="I44" s="48" t="str">
        <f t="shared" si="18"/>
        <v/>
      </c>
      <c r="J44" s="48" t="str">
        <f>IF($C44=NL,"X","")</f>
        <v/>
      </c>
      <c r="K44" s="48" t="str">
        <f t="shared" si="19"/>
        <v/>
      </c>
    </row>
    <row r="45" ht="15.75" customHeight="1">
      <c r="A45" s="44"/>
      <c r="B45" s="74" t="s">
        <v>99</v>
      </c>
      <c r="C45" s="75">
        <f>E45+G45+I45+K45</f>
        <v>30</v>
      </c>
      <c r="D45" s="61"/>
      <c r="E45" s="61">
        <f>SUM(E42:E44)</f>
        <v>30</v>
      </c>
      <c r="F45" s="61"/>
      <c r="G45" s="61">
        <f>SUM(G42:G44)</f>
        <v>0</v>
      </c>
      <c r="H45" s="61"/>
      <c r="I45" s="61">
        <f>SUM(I42:I44)</f>
        <v>0</v>
      </c>
      <c r="J45" s="61"/>
      <c r="K45" s="61">
        <f>SUM(K42:K44)</f>
        <v>0</v>
      </c>
    </row>
    <row r="46" ht="15.75" customHeight="1">
      <c r="A46" s="14"/>
      <c r="B46" s="76" t="s">
        <v>5</v>
      </c>
      <c r="C46" s="63">
        <f>VLOOKUP(C45,ESCALA_TRAB_EQUIP!A2:B62,2,FALSE)</f>
        <v>7</v>
      </c>
    </row>
    <row r="47" ht="15.75" customHeight="1">
      <c r="B47" s="77"/>
      <c r="C47" s="78"/>
    </row>
    <row r="48" ht="15.75" customHeight="1">
      <c r="B48" s="77"/>
      <c r="C48" s="78"/>
    </row>
    <row r="49" ht="15.75" customHeight="1">
      <c r="A49" s="64" t="s">
        <v>95</v>
      </c>
      <c r="B49" s="65" t="s">
        <v>96</v>
      </c>
      <c r="C49" s="66" t="str">
        <f>B6</f>
        <v>ALARCON VARGAS BRAULIO</v>
      </c>
      <c r="D49" s="67"/>
      <c r="E49" s="67"/>
      <c r="F49" s="67"/>
      <c r="G49" s="67"/>
      <c r="H49" s="67"/>
      <c r="I49" s="67"/>
      <c r="J49" s="67"/>
      <c r="K49" s="68"/>
    </row>
    <row r="50" ht="15.75" customHeight="1">
      <c r="A50" s="44"/>
      <c r="B50" s="14"/>
      <c r="C50" s="69"/>
      <c r="D50" s="70"/>
      <c r="E50" s="70"/>
      <c r="F50" s="70"/>
      <c r="G50" s="70"/>
      <c r="H50" s="70"/>
      <c r="I50" s="70"/>
      <c r="J50" s="70"/>
      <c r="K50" s="71"/>
    </row>
    <row r="51" ht="15.75" customHeight="1">
      <c r="A51" s="44"/>
      <c r="B51" s="39" t="s">
        <v>97</v>
      </c>
      <c r="C51" s="40" t="s">
        <v>86</v>
      </c>
      <c r="D51" s="41" t="s">
        <v>87</v>
      </c>
      <c r="E51" s="42"/>
      <c r="F51" s="42"/>
      <c r="G51" s="42"/>
      <c r="H51" s="42"/>
      <c r="I51" s="42"/>
      <c r="J51" s="42"/>
      <c r="K51" s="43"/>
    </row>
    <row r="52" ht="15.75" customHeight="1">
      <c r="A52" s="44"/>
      <c r="B52" s="72" t="s">
        <v>88</v>
      </c>
      <c r="C52" s="14"/>
      <c r="D52" s="41" t="s">
        <v>89</v>
      </c>
      <c r="E52" s="43"/>
      <c r="F52" s="41" t="s">
        <v>90</v>
      </c>
      <c r="G52" s="43"/>
      <c r="H52" s="41" t="s">
        <v>98</v>
      </c>
      <c r="I52" s="43"/>
      <c r="J52" s="41" t="s">
        <v>13</v>
      </c>
      <c r="K52" s="43"/>
    </row>
    <row r="53" ht="25.5" customHeight="1">
      <c r="A53" s="44"/>
      <c r="B53" s="46" t="str">
        <f>RUBRICA!A7</f>
        <v>3. Relaciona el Proyecto APT con sus intereses profesionales. *</v>
      </c>
      <c r="C53" s="47" t="s">
        <v>89</v>
      </c>
      <c r="D53" s="48" t="str">
        <f>IF($C53=CL,"X","")</f>
        <v>X</v>
      </c>
      <c r="E53" s="48">
        <f t="shared" ref="E53:E55" si="20">IF(D53="X",100*0.1,"")</f>
        <v>10</v>
      </c>
      <c r="F53" s="48" t="str">
        <f>IF($C53=L,"X","")</f>
        <v/>
      </c>
      <c r="G53" s="48" t="str">
        <f t="shared" ref="G53:G55" si="21">IF(F53="X",60*0.1,"")</f>
        <v/>
      </c>
      <c r="H53" s="48" t="str">
        <f>IF($C53=ML,"X","")</f>
        <v/>
      </c>
      <c r="I53" s="48" t="str">
        <f t="shared" ref="I53:I55" si="22">IF(H53="X",30*0.1,"")</f>
        <v/>
      </c>
      <c r="J53" s="48" t="str">
        <f>IF($C53=NL,"X","")</f>
        <v/>
      </c>
      <c r="K53" s="48" t="str">
        <f t="shared" ref="K53:K55" si="23">IF($J53="X",0,"")</f>
        <v/>
      </c>
    </row>
    <row r="54" ht="15.75" customHeight="1">
      <c r="A54" s="44"/>
      <c r="B54" s="46" t="str">
        <f>RUBRICA!A15</f>
        <v>11. Expone el tema utilizando un lenguaje técnico disciplinar al presentar la propuesta y responde evidenciando un manejo de la información. *</v>
      </c>
      <c r="C54" s="47" t="s">
        <v>89</v>
      </c>
      <c r="D54" s="48" t="str">
        <f>IF($C54=CL,"X","")</f>
        <v>X</v>
      </c>
      <c r="E54" s="48">
        <f t="shared" si="20"/>
        <v>10</v>
      </c>
      <c r="F54" s="48" t="str">
        <f>IF($C54=L,"X","")</f>
        <v/>
      </c>
      <c r="G54" s="48" t="str">
        <f t="shared" si="21"/>
        <v/>
      </c>
      <c r="H54" s="48" t="str">
        <f>IF($C54=ML,"X","")</f>
        <v/>
      </c>
      <c r="I54" s="48" t="str">
        <f t="shared" si="22"/>
        <v/>
      </c>
      <c r="J54" s="48" t="str">
        <f>IF($C54=NL,"X","")</f>
        <v/>
      </c>
      <c r="K54" s="48" t="str">
        <f t="shared" si="23"/>
        <v/>
      </c>
    </row>
    <row r="55" ht="15.75" customHeight="1">
      <c r="A55" s="44"/>
      <c r="B55" s="46" t="str">
        <f>RUBRICA!A17</f>
        <v>13. Colaboración y trabajo en equipo *</v>
      </c>
      <c r="C55" s="73" t="s">
        <v>89</v>
      </c>
      <c r="D55" s="48" t="str">
        <f>IF($C55=CL,"X","")</f>
        <v>X</v>
      </c>
      <c r="E55" s="48">
        <f t="shared" si="20"/>
        <v>10</v>
      </c>
      <c r="F55" s="48" t="str">
        <f>IF($C55=L,"X","")</f>
        <v/>
      </c>
      <c r="G55" s="48" t="str">
        <f t="shared" si="21"/>
        <v/>
      </c>
      <c r="H55" s="48" t="str">
        <f>IF($C55=ML,"X","")</f>
        <v/>
      </c>
      <c r="I55" s="48" t="str">
        <f t="shared" si="22"/>
        <v/>
      </c>
      <c r="J55" s="48" t="str">
        <f>IF($C55=NL,"X","")</f>
        <v/>
      </c>
      <c r="K55" s="48" t="str">
        <f t="shared" si="23"/>
        <v/>
      </c>
    </row>
    <row r="56" ht="15.75" customHeight="1">
      <c r="A56" s="44"/>
      <c r="B56" s="74" t="s">
        <v>99</v>
      </c>
      <c r="C56" s="75">
        <f>E56+G56+I56+K56</f>
        <v>30</v>
      </c>
      <c r="D56" s="61">
        <f>COUNTIF(D54:D55,"X")</f>
        <v>2</v>
      </c>
      <c r="E56" s="61">
        <f t="shared" ref="E56:K56" si="24">SUM(E53:E55)</f>
        <v>30</v>
      </c>
      <c r="F56" s="61">
        <f t="shared" si="24"/>
        <v>0</v>
      </c>
      <c r="G56" s="61">
        <f t="shared" si="24"/>
        <v>0</v>
      </c>
      <c r="H56" s="61">
        <f t="shared" si="24"/>
        <v>0</v>
      </c>
      <c r="I56" s="61">
        <f t="shared" si="24"/>
        <v>0</v>
      </c>
      <c r="J56" s="61">
        <f t="shared" si="24"/>
        <v>0</v>
      </c>
      <c r="K56" s="61">
        <f t="shared" si="24"/>
        <v>0</v>
      </c>
    </row>
    <row r="57" ht="15.75" customHeight="1">
      <c r="A57" s="14"/>
      <c r="B57" s="76" t="s">
        <v>5</v>
      </c>
      <c r="C57" s="63">
        <f>VLOOKUP(C56,ESCALA_TRAB_EQUIP!A2:B62,2,FALSE)</f>
        <v>7</v>
      </c>
    </row>
    <row r="58" ht="15.75" customHeight="1">
      <c r="B58" s="77"/>
      <c r="C58" s="78"/>
    </row>
    <row r="59" ht="15.75" customHeight="1"/>
    <row r="60" ht="15.75" customHeight="1">
      <c r="A60" s="64" t="s">
        <v>95</v>
      </c>
      <c r="B60" s="65" t="s">
        <v>96</v>
      </c>
      <c r="C60" s="66" t="str">
        <f>B7</f>
        <v>ESCOBAR ROJAS BRYAN JACOB</v>
      </c>
      <c r="D60" s="67"/>
      <c r="E60" s="67"/>
      <c r="F60" s="67"/>
      <c r="G60" s="67"/>
      <c r="H60" s="67"/>
      <c r="I60" s="67"/>
      <c r="J60" s="67"/>
      <c r="K60" s="68"/>
    </row>
    <row r="61" ht="15.75" customHeight="1">
      <c r="A61" s="44"/>
      <c r="B61" s="14"/>
      <c r="C61" s="69"/>
      <c r="D61" s="70"/>
      <c r="E61" s="70"/>
      <c r="F61" s="70"/>
      <c r="G61" s="70"/>
      <c r="H61" s="70"/>
      <c r="I61" s="70"/>
      <c r="J61" s="70"/>
      <c r="K61" s="71"/>
    </row>
    <row r="62" ht="15.75" customHeight="1">
      <c r="A62" s="44"/>
      <c r="B62" s="39" t="s">
        <v>97</v>
      </c>
      <c r="C62" s="40" t="s">
        <v>86</v>
      </c>
      <c r="D62" s="41" t="s">
        <v>87</v>
      </c>
      <c r="E62" s="42"/>
      <c r="F62" s="42"/>
      <c r="G62" s="42"/>
      <c r="H62" s="42"/>
      <c r="I62" s="42"/>
      <c r="J62" s="42"/>
      <c r="K62" s="43"/>
    </row>
    <row r="63" ht="15.75" customHeight="1">
      <c r="A63" s="44"/>
      <c r="B63" s="72" t="s">
        <v>88</v>
      </c>
      <c r="C63" s="14"/>
      <c r="D63" s="41" t="s">
        <v>89</v>
      </c>
      <c r="E63" s="43"/>
      <c r="F63" s="41" t="s">
        <v>90</v>
      </c>
      <c r="G63" s="43"/>
      <c r="H63" s="41" t="s">
        <v>98</v>
      </c>
      <c r="I63" s="43"/>
      <c r="J63" s="41" t="s">
        <v>13</v>
      </c>
      <c r="K63" s="43"/>
    </row>
    <row r="64" ht="15.75" customHeight="1">
      <c r="A64" s="44"/>
      <c r="B64" s="46" t="str">
        <f>RUBRICA!A7</f>
        <v>3. Relaciona el Proyecto APT con sus intereses profesionales. *</v>
      </c>
      <c r="C64" s="47" t="s">
        <v>89</v>
      </c>
      <c r="D64" s="48" t="str">
        <f>IF($C64=CL,"X","")</f>
        <v>X</v>
      </c>
      <c r="E64" s="48">
        <f t="shared" ref="E64:E66" si="25">IF(D64="X",100*0.1,"")</f>
        <v>10</v>
      </c>
      <c r="F64" s="48" t="str">
        <f>IF($C64=L,"X","")</f>
        <v/>
      </c>
      <c r="G64" s="48" t="str">
        <f t="shared" ref="G64:G66" si="26">IF(F64="X",60*0.1,"")</f>
        <v/>
      </c>
      <c r="H64" s="48" t="str">
        <f>IF($C64=ML,"X","")</f>
        <v/>
      </c>
      <c r="I64" s="48" t="str">
        <f t="shared" ref="I64:I66" si="27">IF(H64="X",30*0.1,"")</f>
        <v/>
      </c>
      <c r="J64" s="48" t="str">
        <f>IF($C64=NL,"X","")</f>
        <v/>
      </c>
      <c r="K64" s="48" t="str">
        <f t="shared" ref="K64:K66" si="28">IF($J64="X",0,"")</f>
        <v/>
      </c>
    </row>
    <row r="65" ht="48.0" customHeight="1">
      <c r="A65" s="44"/>
      <c r="B65" s="46" t="str">
        <f>RUBRICA!A15</f>
        <v>11. Expone el tema utilizando un lenguaje técnico disciplinar al presentar la propuesta y responde evidenciando un manejo de la información. *</v>
      </c>
      <c r="C65" s="47" t="s">
        <v>89</v>
      </c>
      <c r="D65" s="48" t="str">
        <f>IF($C65=CL,"X","")</f>
        <v>X</v>
      </c>
      <c r="E65" s="48">
        <f t="shared" si="25"/>
        <v>10</v>
      </c>
      <c r="F65" s="48" t="str">
        <f>IF($C65=L,"X","")</f>
        <v/>
      </c>
      <c r="G65" s="48" t="str">
        <f t="shared" si="26"/>
        <v/>
      </c>
      <c r="H65" s="48" t="str">
        <f>IF($C65=ML,"X","")</f>
        <v/>
      </c>
      <c r="I65" s="48" t="str">
        <f t="shared" si="27"/>
        <v/>
      </c>
      <c r="J65" s="48" t="str">
        <f>IF($C65=NL,"X","")</f>
        <v/>
      </c>
      <c r="K65" s="48" t="str">
        <f t="shared" si="28"/>
        <v/>
      </c>
    </row>
    <row r="66" ht="15.75" customHeight="1">
      <c r="A66" s="44"/>
      <c r="B66" s="46" t="str">
        <f>RUBRICA!A17</f>
        <v>13. Colaboración y trabajo en equipo *</v>
      </c>
      <c r="C66" s="73" t="s">
        <v>89</v>
      </c>
      <c r="D66" s="48" t="str">
        <f>IF($C66=CL,"X","")</f>
        <v>X</v>
      </c>
      <c r="E66" s="48">
        <f t="shared" si="25"/>
        <v>10</v>
      </c>
      <c r="F66" s="48" t="str">
        <f>IF($C66=L,"X","")</f>
        <v/>
      </c>
      <c r="G66" s="48" t="str">
        <f t="shared" si="26"/>
        <v/>
      </c>
      <c r="H66" s="48" t="str">
        <f>IF($C66=ML,"X","")</f>
        <v/>
      </c>
      <c r="I66" s="48" t="str">
        <f t="shared" si="27"/>
        <v/>
      </c>
      <c r="J66" s="48" t="str">
        <f>IF($C66=NL,"X","")</f>
        <v/>
      </c>
      <c r="K66" s="48" t="str">
        <f t="shared" si="28"/>
        <v/>
      </c>
    </row>
    <row r="67" ht="15.75" customHeight="1">
      <c r="A67" s="44"/>
      <c r="B67" s="74" t="s">
        <v>99</v>
      </c>
      <c r="C67" s="75">
        <f>E67+G67+I67+K67</f>
        <v>30</v>
      </c>
      <c r="D67" s="61">
        <f>COUNTIF(D65:D66,"X")</f>
        <v>2</v>
      </c>
      <c r="E67" s="61">
        <f t="shared" ref="E67:K67" si="29">SUM(E64:E66)</f>
        <v>30</v>
      </c>
      <c r="F67" s="61">
        <f t="shared" si="29"/>
        <v>0</v>
      </c>
      <c r="G67" s="61">
        <f t="shared" si="29"/>
        <v>0</v>
      </c>
      <c r="H67" s="61">
        <f t="shared" si="29"/>
        <v>0</v>
      </c>
      <c r="I67" s="61">
        <f t="shared" si="29"/>
        <v>0</v>
      </c>
      <c r="J67" s="61">
        <f t="shared" si="29"/>
        <v>0</v>
      </c>
      <c r="K67" s="61">
        <f t="shared" si="29"/>
        <v>0</v>
      </c>
    </row>
    <row r="68" ht="15.75" customHeight="1">
      <c r="A68" s="14"/>
      <c r="B68" s="76" t="s">
        <v>5</v>
      </c>
      <c r="C68" s="63">
        <f>VLOOKUP(C67,ESCALA_TRAB_EQUIP!A13:B73,2,FALSE)</f>
        <v>7</v>
      </c>
    </row>
    <row r="69" ht="15.75" customHeight="1"/>
    <row r="70" ht="15.75" customHeight="1"/>
    <row r="71" ht="15.75" customHeight="1">
      <c r="A71" s="64" t="s">
        <v>95</v>
      </c>
      <c r="B71" s="65" t="s">
        <v>96</v>
      </c>
      <c r="C71" s="66" t="str">
        <f>B8</f>
        <v>GARATE YANEZ NESTOR VALERIANO</v>
      </c>
      <c r="D71" s="67"/>
      <c r="E71" s="67"/>
      <c r="F71" s="67"/>
      <c r="G71" s="67"/>
      <c r="H71" s="67"/>
      <c r="I71" s="67"/>
      <c r="J71" s="67"/>
      <c r="K71" s="68"/>
    </row>
    <row r="72" ht="15.75" customHeight="1">
      <c r="A72" s="44"/>
      <c r="B72" s="14"/>
      <c r="C72" s="69"/>
      <c r="D72" s="70"/>
      <c r="E72" s="70"/>
      <c r="F72" s="70"/>
      <c r="G72" s="70"/>
      <c r="H72" s="70"/>
      <c r="I72" s="70"/>
      <c r="J72" s="70"/>
      <c r="K72" s="71"/>
    </row>
    <row r="73" ht="15.75" customHeight="1">
      <c r="A73" s="44"/>
      <c r="B73" s="39" t="s">
        <v>97</v>
      </c>
      <c r="C73" s="40" t="s">
        <v>86</v>
      </c>
      <c r="D73" s="41" t="s">
        <v>87</v>
      </c>
      <c r="E73" s="42"/>
      <c r="F73" s="42"/>
      <c r="G73" s="42"/>
      <c r="H73" s="42"/>
      <c r="I73" s="42"/>
      <c r="J73" s="42"/>
      <c r="K73" s="43"/>
    </row>
    <row r="74" ht="15.75" customHeight="1">
      <c r="A74" s="44"/>
      <c r="B74" s="72" t="s">
        <v>88</v>
      </c>
      <c r="C74" s="14"/>
      <c r="D74" s="41" t="s">
        <v>89</v>
      </c>
      <c r="E74" s="43"/>
      <c r="F74" s="41" t="s">
        <v>90</v>
      </c>
      <c r="G74" s="43"/>
      <c r="H74" s="41" t="s">
        <v>98</v>
      </c>
      <c r="I74" s="43"/>
      <c r="J74" s="41" t="s">
        <v>13</v>
      </c>
      <c r="K74" s="43"/>
    </row>
    <row r="75" ht="15.75" customHeight="1">
      <c r="A75" s="44"/>
      <c r="B75" s="46" t="str">
        <f>RUBRICA!A7</f>
        <v>3. Relaciona el Proyecto APT con sus intereses profesionales. *</v>
      </c>
      <c r="C75" s="47" t="s">
        <v>89</v>
      </c>
      <c r="D75" s="48" t="str">
        <f>IF($C75=CL,"X","")</f>
        <v>X</v>
      </c>
      <c r="E75" s="48">
        <f t="shared" ref="E75:E77" si="30">IF(D75="X",100*0.1,"")</f>
        <v>10</v>
      </c>
      <c r="F75" s="48" t="str">
        <f>IF($C75=L,"X","")</f>
        <v/>
      </c>
      <c r="G75" s="48" t="str">
        <f t="shared" ref="G75:G77" si="31">IF(F75="X",60*0.1,"")</f>
        <v/>
      </c>
      <c r="H75" s="48" t="str">
        <f>IF($C75=ML,"X","")</f>
        <v/>
      </c>
      <c r="I75" s="48" t="str">
        <f t="shared" ref="I75:I77" si="32">IF(H75="X",30*0.1,"")</f>
        <v/>
      </c>
      <c r="J75" s="48" t="str">
        <f>IF($C75=NL,"X","")</f>
        <v/>
      </c>
      <c r="K75" s="48" t="str">
        <f t="shared" ref="K75:K77" si="33">IF($J75="X",0,"")</f>
        <v/>
      </c>
    </row>
    <row r="76" ht="48.0" customHeight="1">
      <c r="A76" s="44"/>
      <c r="B76" s="46" t="str">
        <f>RUBRICA!A15</f>
        <v>11. Expone el tema utilizando un lenguaje técnico disciplinar al presentar la propuesta y responde evidenciando un manejo de la información. *</v>
      </c>
      <c r="C76" s="47" t="s">
        <v>89</v>
      </c>
      <c r="D76" s="48" t="str">
        <f>IF($C76=CL,"X","")</f>
        <v>X</v>
      </c>
      <c r="E76" s="48">
        <f t="shared" si="30"/>
        <v>10</v>
      </c>
      <c r="F76" s="48" t="str">
        <f>IF($C76=L,"X","")</f>
        <v/>
      </c>
      <c r="G76" s="48" t="str">
        <f t="shared" si="31"/>
        <v/>
      </c>
      <c r="H76" s="48" t="str">
        <f>IF($C76=ML,"X","")</f>
        <v/>
      </c>
      <c r="I76" s="48" t="str">
        <f t="shared" si="32"/>
        <v/>
      </c>
      <c r="J76" s="48" t="str">
        <f>IF($C76=NL,"X","")</f>
        <v/>
      </c>
      <c r="K76" s="48" t="str">
        <f t="shared" si="33"/>
        <v/>
      </c>
    </row>
    <row r="77" ht="15.75" customHeight="1">
      <c r="A77" s="44"/>
      <c r="B77" s="46" t="str">
        <f>RUBRICA!A17</f>
        <v>13. Colaboración y trabajo en equipo *</v>
      </c>
      <c r="C77" s="73" t="s">
        <v>89</v>
      </c>
      <c r="D77" s="48" t="str">
        <f>IF($C77=CL,"X","")</f>
        <v>X</v>
      </c>
      <c r="E77" s="48">
        <f t="shared" si="30"/>
        <v>10</v>
      </c>
      <c r="F77" s="48" t="str">
        <f>IF($C77=L,"X","")</f>
        <v/>
      </c>
      <c r="G77" s="48" t="str">
        <f t="shared" si="31"/>
        <v/>
      </c>
      <c r="H77" s="48" t="str">
        <f>IF($C77=ML,"X","")</f>
        <v/>
      </c>
      <c r="I77" s="48" t="str">
        <f t="shared" si="32"/>
        <v/>
      </c>
      <c r="J77" s="48" t="str">
        <f>IF($C77=NL,"X","")</f>
        <v/>
      </c>
      <c r="K77" s="48" t="str">
        <f t="shared" si="33"/>
        <v/>
      </c>
    </row>
    <row r="78" ht="15.75" customHeight="1">
      <c r="A78" s="44"/>
      <c r="B78" s="74" t="s">
        <v>99</v>
      </c>
      <c r="C78" s="75">
        <f>E78+G78+I78+K78</f>
        <v>30</v>
      </c>
      <c r="D78" s="61">
        <f>COUNTIF(D76:D77,"X")</f>
        <v>2</v>
      </c>
      <c r="E78" s="61">
        <f t="shared" ref="E78:K78" si="34">SUM(E75:E77)</f>
        <v>30</v>
      </c>
      <c r="F78" s="61">
        <f t="shared" si="34"/>
        <v>0</v>
      </c>
      <c r="G78" s="61">
        <f t="shared" si="34"/>
        <v>0</v>
      </c>
      <c r="H78" s="61">
        <f t="shared" si="34"/>
        <v>0</v>
      </c>
      <c r="I78" s="61">
        <f t="shared" si="34"/>
        <v>0</v>
      </c>
      <c r="J78" s="61">
        <f t="shared" si="34"/>
        <v>0</v>
      </c>
      <c r="K78" s="61">
        <f t="shared" si="34"/>
        <v>0</v>
      </c>
    </row>
    <row r="79" ht="15.75" customHeight="1">
      <c r="A79" s="14"/>
      <c r="B79" s="76" t="s">
        <v>5</v>
      </c>
      <c r="C79" s="63">
        <f>VLOOKUP(C78,ESCALA_TRAB_EQUIP!A24:B84,2,FALSE)</f>
        <v>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C28:C29"/>
    <mergeCell ref="C40:C41"/>
    <mergeCell ref="C51:C52"/>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 ref="H63:I63"/>
    <mergeCell ref="J63:K63"/>
    <mergeCell ref="A71:A79"/>
    <mergeCell ref="B71:B72"/>
    <mergeCell ref="C73:C74"/>
    <mergeCell ref="C71:K72"/>
    <mergeCell ref="D73:K73"/>
    <mergeCell ref="D74:E74"/>
    <mergeCell ref="F74:G74"/>
    <mergeCell ref="H74:I74"/>
    <mergeCell ref="J74:K74"/>
    <mergeCell ref="A60:A68"/>
    <mergeCell ref="B60:B61"/>
    <mergeCell ref="C60:K61"/>
    <mergeCell ref="C62:C63"/>
    <mergeCell ref="D62:K62"/>
    <mergeCell ref="D63:E63"/>
    <mergeCell ref="F63:G63"/>
  </mergeCells>
  <conditionalFormatting sqref="C4:E8">
    <cfRule type="cellIs" dxfId="0" priority="1" operator="lessThan">
      <formula>4</formula>
    </cfRule>
  </conditionalFormatting>
  <conditionalFormatting sqref="C4:E8">
    <cfRule type="cellIs" dxfId="0" priority="2" operator="lessThan">
      <formula>1</formula>
    </cfRule>
  </conditionalFormatting>
  <dataValidations>
    <dataValidation type="decimal" allowBlank="1" showInputMessage="1" showErrorMessage="1" prompt="Error de Ingreso - Nota debe estar entre 1,0 y 7,0" sqref="C4:E8">
      <formula1>1.0</formula1>
      <formula2>7.0</formula2>
    </dataValidation>
    <dataValidation type="list" allowBlank="1" showErrorMessage="1" sqref="C12:C21 C30:C32 C42:C44 C53:C55 C64:C66 C75:C7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1" t="s">
        <v>0</v>
      </c>
      <c r="B2" s="3" t="s">
        <v>3</v>
      </c>
      <c r="C2" s="5"/>
      <c r="D2" s="5"/>
      <c r="E2" s="7"/>
      <c r="F2" s="1" t="s">
        <v>6</v>
      </c>
    </row>
    <row r="3">
      <c r="A3" s="9"/>
      <c r="B3" s="12" t="s">
        <v>8</v>
      </c>
      <c r="C3" s="12" t="s">
        <v>10</v>
      </c>
      <c r="D3" s="15" t="s">
        <v>12</v>
      </c>
      <c r="E3" s="17" t="s">
        <v>13</v>
      </c>
      <c r="F3" s="9"/>
    </row>
    <row r="4" ht="57.0" customHeight="1">
      <c r="A4" s="19"/>
      <c r="B4" s="19"/>
      <c r="C4" s="19"/>
      <c r="D4" s="20">
        <v>-0.3</v>
      </c>
      <c r="E4" s="20">
        <v>0.0</v>
      </c>
      <c r="F4" s="19"/>
    </row>
    <row r="5">
      <c r="A5" s="21" t="s">
        <v>15</v>
      </c>
      <c r="B5" s="22" t="s">
        <v>16</v>
      </c>
      <c r="C5" s="22" t="s">
        <v>17</v>
      </c>
      <c r="D5" s="22" t="s">
        <v>18</v>
      </c>
      <c r="E5" s="22" t="s">
        <v>19</v>
      </c>
      <c r="F5" s="23">
        <v>10.0</v>
      </c>
    </row>
    <row r="6">
      <c r="A6" s="24" t="s">
        <v>20</v>
      </c>
      <c r="B6" s="24" t="s">
        <v>21</v>
      </c>
      <c r="C6" s="24" t="s">
        <v>22</v>
      </c>
      <c r="D6" s="24" t="s">
        <v>23</v>
      </c>
      <c r="E6" s="25" t="s">
        <v>24</v>
      </c>
      <c r="F6" s="27">
        <v>5.0</v>
      </c>
    </row>
    <row r="7" ht="94.5" customHeight="1">
      <c r="A7" s="28" t="s">
        <v>25</v>
      </c>
      <c r="B7" s="28" t="s">
        <v>26</v>
      </c>
      <c r="C7" s="28" t="s">
        <v>27</v>
      </c>
      <c r="D7" s="28" t="s">
        <v>28</v>
      </c>
      <c r="E7" s="28" t="s">
        <v>29</v>
      </c>
      <c r="F7" s="29">
        <v>10.0</v>
      </c>
    </row>
    <row r="8">
      <c r="A8" s="28" t="s">
        <v>30</v>
      </c>
      <c r="B8" s="28" t="s">
        <v>31</v>
      </c>
      <c r="C8" s="28" t="s">
        <v>32</v>
      </c>
      <c r="D8" s="28" t="s">
        <v>33</v>
      </c>
      <c r="E8" s="28" t="s">
        <v>34</v>
      </c>
      <c r="F8" s="29">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7">
        <v>10.0</v>
      </c>
    </row>
    <row r="12">
      <c r="A12" s="31" t="s">
        <v>50</v>
      </c>
      <c r="B12" s="25" t="s">
        <v>51</v>
      </c>
      <c r="C12" s="25" t="s">
        <v>52</v>
      </c>
      <c r="D12" s="25" t="s">
        <v>54</v>
      </c>
      <c r="E12" s="25" t="s">
        <v>55</v>
      </c>
      <c r="F12" s="32">
        <v>5.0</v>
      </c>
    </row>
    <row r="13" ht="93.75" customHeight="1">
      <c r="A13" s="28" t="s">
        <v>56</v>
      </c>
      <c r="B13" s="28" t="s">
        <v>57</v>
      </c>
      <c r="C13" s="28" t="s">
        <v>58</v>
      </c>
      <c r="D13" s="28" t="s">
        <v>59</v>
      </c>
      <c r="E13" s="28" t="s">
        <v>60</v>
      </c>
      <c r="F13" s="33">
        <v>5.0</v>
      </c>
    </row>
    <row r="14">
      <c r="A14" s="28" t="s">
        <v>61</v>
      </c>
      <c r="B14" s="28" t="s">
        <v>62</v>
      </c>
      <c r="C14" s="28" t="s">
        <v>63</v>
      </c>
      <c r="D14" s="28" t="s">
        <v>64</v>
      </c>
      <c r="E14" s="28" t="s">
        <v>65</v>
      </c>
      <c r="F14" s="33">
        <v>5.0</v>
      </c>
    </row>
    <row r="15">
      <c r="A15" s="21" t="s">
        <v>66</v>
      </c>
      <c r="B15" s="22" t="s">
        <v>67</v>
      </c>
      <c r="C15" s="22" t="s">
        <v>68</v>
      </c>
      <c r="D15" s="22" t="s">
        <v>69</v>
      </c>
      <c r="E15" s="22" t="s">
        <v>70</v>
      </c>
      <c r="F15" s="23">
        <v>10.0</v>
      </c>
    </row>
    <row r="16">
      <c r="A16" s="21" t="s">
        <v>71</v>
      </c>
      <c r="B16" s="22" t="s">
        <v>72</v>
      </c>
      <c r="C16" s="22" t="s">
        <v>73</v>
      </c>
      <c r="D16" s="22" t="s">
        <v>74</v>
      </c>
      <c r="E16" s="22" t="s">
        <v>75</v>
      </c>
      <c r="F16" s="23">
        <v>10.0</v>
      </c>
    </row>
    <row r="17">
      <c r="A17" s="21" t="s">
        <v>77</v>
      </c>
      <c r="B17" s="22" t="s">
        <v>78</v>
      </c>
      <c r="C17" s="22" t="s">
        <v>79</v>
      </c>
      <c r="D17" s="22" t="s">
        <v>80</v>
      </c>
      <c r="E17" s="22" t="s">
        <v>81</v>
      </c>
      <c r="F17" s="23">
        <v>10.0</v>
      </c>
    </row>
    <row r="18">
      <c r="A18" s="34" t="s">
        <v>82</v>
      </c>
      <c r="B18" s="5"/>
      <c r="C18" s="5"/>
      <c r="D18" s="5"/>
      <c r="E18" s="7"/>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5</v>
      </c>
    </row>
    <row r="2">
      <c r="A2" s="2">
        <v>0.0</v>
      </c>
      <c r="B2" s="6">
        <v>1.0</v>
      </c>
    </row>
    <row r="3">
      <c r="A3" s="2">
        <v>0.5</v>
      </c>
      <c r="B3" s="6">
        <v>1.0</v>
      </c>
    </row>
    <row r="4">
      <c r="A4" s="2">
        <v>1.0</v>
      </c>
      <c r="B4" s="6">
        <v>1.1</v>
      </c>
    </row>
    <row r="5">
      <c r="A5" s="2">
        <v>1.5</v>
      </c>
      <c r="B5" s="6">
        <v>1.1</v>
      </c>
    </row>
    <row r="6">
      <c r="A6" s="2">
        <v>2.0</v>
      </c>
      <c r="B6" s="6">
        <v>1.1</v>
      </c>
    </row>
    <row r="7">
      <c r="A7" s="2">
        <v>2.5</v>
      </c>
      <c r="B7" s="6">
        <v>1.2</v>
      </c>
    </row>
    <row r="8">
      <c r="A8" s="2">
        <v>3.0</v>
      </c>
      <c r="B8" s="6">
        <v>1.2</v>
      </c>
    </row>
    <row r="9">
      <c r="A9" s="2">
        <v>3.5</v>
      </c>
      <c r="B9" s="6">
        <v>1.3</v>
      </c>
    </row>
    <row r="10">
      <c r="A10" s="2">
        <v>4.0</v>
      </c>
      <c r="B10" s="6">
        <v>1.3</v>
      </c>
    </row>
    <row r="11">
      <c r="A11" s="2">
        <v>4.5</v>
      </c>
      <c r="B11" s="6">
        <v>1.3</v>
      </c>
    </row>
    <row r="12">
      <c r="A12" s="2">
        <v>5.0</v>
      </c>
      <c r="B12" s="6">
        <v>1.4</v>
      </c>
    </row>
    <row r="13">
      <c r="A13" s="2">
        <v>5.5</v>
      </c>
      <c r="B13" s="6">
        <v>1.4</v>
      </c>
    </row>
    <row r="14">
      <c r="A14" s="2">
        <v>6.0</v>
      </c>
      <c r="B14" s="6">
        <v>1.4</v>
      </c>
    </row>
    <row r="15">
      <c r="A15" s="2">
        <v>6.5</v>
      </c>
      <c r="B15" s="6">
        <v>1.5</v>
      </c>
    </row>
    <row r="16">
      <c r="A16" s="2">
        <v>7.0</v>
      </c>
      <c r="B16" s="6">
        <v>1.5</v>
      </c>
    </row>
    <row r="17">
      <c r="A17" s="2">
        <v>7.5</v>
      </c>
      <c r="B17" s="6">
        <v>1.5</v>
      </c>
    </row>
    <row r="18">
      <c r="A18" s="2">
        <v>8.0</v>
      </c>
      <c r="B18" s="6">
        <v>1.6</v>
      </c>
    </row>
    <row r="19">
      <c r="A19" s="2">
        <v>8.5</v>
      </c>
      <c r="B19" s="6">
        <v>1.6</v>
      </c>
    </row>
    <row r="20">
      <c r="A20" s="2">
        <v>9.0</v>
      </c>
      <c r="B20" s="6">
        <v>1.6</v>
      </c>
    </row>
    <row r="21" ht="15.75" customHeight="1">
      <c r="A21" s="2">
        <v>9.5</v>
      </c>
      <c r="B21" s="6">
        <v>1.7</v>
      </c>
    </row>
    <row r="22" ht="15.75" customHeight="1">
      <c r="A22" s="2">
        <v>10.0</v>
      </c>
      <c r="B22" s="6">
        <v>1.7</v>
      </c>
    </row>
    <row r="23" ht="15.75" customHeight="1">
      <c r="A23" s="2">
        <v>10.5</v>
      </c>
      <c r="B23" s="6">
        <v>1.8</v>
      </c>
    </row>
    <row r="24" ht="15.75" customHeight="1">
      <c r="A24" s="2">
        <v>11.0</v>
      </c>
      <c r="B24" s="6">
        <v>1.8</v>
      </c>
    </row>
    <row r="25" ht="15.75" customHeight="1">
      <c r="A25" s="2">
        <v>11.5</v>
      </c>
      <c r="B25" s="6">
        <v>1.8</v>
      </c>
    </row>
    <row r="26" ht="15.75" customHeight="1">
      <c r="A26" s="2">
        <v>12.0</v>
      </c>
      <c r="B26" s="6">
        <v>1.9</v>
      </c>
    </row>
    <row r="27" ht="15.75" customHeight="1">
      <c r="A27" s="2">
        <v>12.5</v>
      </c>
      <c r="B27" s="6">
        <v>1.9</v>
      </c>
    </row>
    <row r="28" ht="15.75" customHeight="1">
      <c r="A28" s="2">
        <v>13.0</v>
      </c>
      <c r="B28" s="6">
        <v>1.9</v>
      </c>
    </row>
    <row r="29" ht="15.75" customHeight="1">
      <c r="A29" s="2">
        <v>13.5</v>
      </c>
      <c r="B29" s="6">
        <v>2.0</v>
      </c>
    </row>
    <row r="30" ht="15.75" customHeight="1">
      <c r="A30" s="2">
        <v>14.0</v>
      </c>
      <c r="B30" s="6">
        <v>2.0</v>
      </c>
    </row>
    <row r="31" ht="15.75" customHeight="1">
      <c r="A31" s="2">
        <v>14.5</v>
      </c>
      <c r="B31" s="6">
        <v>2.0</v>
      </c>
    </row>
    <row r="32" ht="15.75" customHeight="1">
      <c r="A32" s="2">
        <v>15.0</v>
      </c>
      <c r="B32" s="6">
        <v>2.1</v>
      </c>
    </row>
    <row r="33" ht="15.75" customHeight="1">
      <c r="A33" s="2">
        <v>15.5</v>
      </c>
      <c r="B33" s="6">
        <v>2.1</v>
      </c>
    </row>
    <row r="34" ht="15.75" customHeight="1">
      <c r="A34" s="2">
        <v>16.0</v>
      </c>
      <c r="B34" s="6">
        <v>2.1</v>
      </c>
    </row>
    <row r="35" ht="15.75" customHeight="1">
      <c r="A35" s="2">
        <v>16.5</v>
      </c>
      <c r="B35" s="6">
        <v>2.2</v>
      </c>
    </row>
    <row r="36" ht="15.75" customHeight="1">
      <c r="A36" s="2">
        <v>17.0</v>
      </c>
      <c r="B36" s="6">
        <v>2.2</v>
      </c>
    </row>
    <row r="37" ht="15.75" customHeight="1">
      <c r="A37" s="2">
        <v>17.5</v>
      </c>
      <c r="B37" s="6">
        <v>2.3</v>
      </c>
    </row>
    <row r="38" ht="15.75" customHeight="1">
      <c r="A38" s="2">
        <v>18.0</v>
      </c>
      <c r="B38" s="6">
        <v>2.3</v>
      </c>
    </row>
    <row r="39" ht="15.75" customHeight="1">
      <c r="A39" s="2">
        <v>18.5</v>
      </c>
      <c r="B39" s="6">
        <v>2.3</v>
      </c>
    </row>
    <row r="40" ht="15.75" customHeight="1">
      <c r="A40" s="2">
        <v>19.0</v>
      </c>
      <c r="B40" s="6">
        <v>2.4</v>
      </c>
    </row>
    <row r="41" ht="15.75" customHeight="1">
      <c r="A41" s="2">
        <v>19.5</v>
      </c>
      <c r="B41" s="6">
        <v>2.4</v>
      </c>
    </row>
    <row r="42" ht="15.75" customHeight="1">
      <c r="A42" s="2">
        <v>20.0</v>
      </c>
      <c r="B42" s="6">
        <v>2.4</v>
      </c>
    </row>
    <row r="43" ht="15.75" customHeight="1">
      <c r="A43" s="2">
        <v>20.5</v>
      </c>
      <c r="B43" s="6">
        <v>2.5</v>
      </c>
    </row>
    <row r="44" ht="15.75" customHeight="1">
      <c r="A44" s="2">
        <v>21.0</v>
      </c>
      <c r="B44" s="6">
        <v>2.5</v>
      </c>
    </row>
    <row r="45" ht="15.75" customHeight="1">
      <c r="A45" s="2">
        <v>21.5</v>
      </c>
      <c r="B45" s="6">
        <v>2.5</v>
      </c>
    </row>
    <row r="46" ht="15.75" customHeight="1">
      <c r="A46" s="2">
        <v>22.0</v>
      </c>
      <c r="B46" s="6">
        <v>2.6</v>
      </c>
    </row>
    <row r="47" ht="15.75" customHeight="1">
      <c r="A47" s="2">
        <v>22.5</v>
      </c>
      <c r="B47" s="6">
        <v>2.6</v>
      </c>
    </row>
    <row r="48" ht="15.75" customHeight="1">
      <c r="A48" s="2">
        <v>23.0</v>
      </c>
      <c r="B48" s="6">
        <v>2.6</v>
      </c>
    </row>
    <row r="49" ht="15.75" customHeight="1">
      <c r="A49" s="2">
        <v>23.5</v>
      </c>
      <c r="B49" s="6">
        <v>2.7</v>
      </c>
    </row>
    <row r="50" ht="15.75" customHeight="1">
      <c r="A50" s="2">
        <v>24.0</v>
      </c>
      <c r="B50" s="6">
        <v>2.7</v>
      </c>
    </row>
    <row r="51" ht="15.75" customHeight="1">
      <c r="A51" s="2">
        <v>24.5</v>
      </c>
      <c r="B51" s="6">
        <v>2.8</v>
      </c>
    </row>
    <row r="52" ht="15.75" customHeight="1">
      <c r="A52" s="2">
        <v>25.0</v>
      </c>
      <c r="B52" s="6">
        <v>2.8</v>
      </c>
    </row>
    <row r="53" ht="15.75" customHeight="1">
      <c r="A53" s="2">
        <v>25.5</v>
      </c>
      <c r="B53" s="6">
        <v>2.8</v>
      </c>
    </row>
    <row r="54" ht="15.75" customHeight="1">
      <c r="A54" s="2">
        <v>26.0</v>
      </c>
      <c r="B54" s="6">
        <v>2.9</v>
      </c>
    </row>
    <row r="55" ht="15.75" customHeight="1">
      <c r="A55" s="2">
        <v>26.5</v>
      </c>
      <c r="B55" s="6">
        <v>2.9</v>
      </c>
    </row>
    <row r="56" ht="15.75" customHeight="1">
      <c r="A56" s="2">
        <v>27.0</v>
      </c>
      <c r="B56" s="6">
        <v>2.9</v>
      </c>
    </row>
    <row r="57" ht="15.75" customHeight="1">
      <c r="A57" s="2">
        <v>27.5</v>
      </c>
      <c r="B57" s="6">
        <v>3.0</v>
      </c>
    </row>
    <row r="58" ht="15.75" customHeight="1">
      <c r="A58" s="2">
        <v>28.0</v>
      </c>
      <c r="B58" s="6">
        <v>3.0</v>
      </c>
    </row>
    <row r="59" ht="15.75" customHeight="1">
      <c r="A59" s="2">
        <v>28.5</v>
      </c>
      <c r="B59" s="6">
        <v>3.0</v>
      </c>
    </row>
    <row r="60" ht="15.75" customHeight="1">
      <c r="A60" s="2">
        <v>29.0</v>
      </c>
      <c r="B60" s="6">
        <v>3.1</v>
      </c>
    </row>
    <row r="61" ht="15.75" customHeight="1">
      <c r="A61" s="2">
        <v>29.5</v>
      </c>
      <c r="B61" s="6">
        <v>3.1</v>
      </c>
    </row>
    <row r="62" ht="15.75" customHeight="1">
      <c r="A62" s="2">
        <v>30.0</v>
      </c>
      <c r="B62" s="6">
        <v>3.1</v>
      </c>
    </row>
    <row r="63" ht="15.75" customHeight="1">
      <c r="A63" s="2">
        <v>30.5</v>
      </c>
      <c r="B63" s="6">
        <v>3.2</v>
      </c>
    </row>
    <row r="64" ht="15.75" customHeight="1">
      <c r="A64" s="2">
        <v>31.0</v>
      </c>
      <c r="B64" s="6">
        <v>3.2</v>
      </c>
    </row>
    <row r="65" ht="15.75" customHeight="1">
      <c r="A65" s="2">
        <v>31.5</v>
      </c>
      <c r="B65" s="6">
        <v>3.3</v>
      </c>
    </row>
    <row r="66" ht="15.75" customHeight="1">
      <c r="A66" s="2">
        <v>32.0</v>
      </c>
      <c r="B66" s="6">
        <v>3.3</v>
      </c>
    </row>
    <row r="67" ht="15.75" customHeight="1">
      <c r="A67" s="2">
        <v>32.5</v>
      </c>
      <c r="B67" s="6">
        <v>3.3</v>
      </c>
    </row>
    <row r="68" ht="15.75" customHeight="1">
      <c r="A68" s="2">
        <v>33.0</v>
      </c>
      <c r="B68" s="6">
        <v>3.4</v>
      </c>
    </row>
    <row r="69" ht="15.75" customHeight="1">
      <c r="A69" s="2">
        <v>33.5</v>
      </c>
      <c r="B69" s="6">
        <v>3.4</v>
      </c>
    </row>
    <row r="70" ht="15.75" customHeight="1">
      <c r="A70" s="2">
        <v>34.0</v>
      </c>
      <c r="B70" s="6">
        <v>3.4</v>
      </c>
    </row>
    <row r="71" ht="15.75" customHeight="1">
      <c r="A71" s="2">
        <v>34.5</v>
      </c>
      <c r="B71" s="6">
        <v>3.5</v>
      </c>
    </row>
    <row r="72" ht="15.75" customHeight="1">
      <c r="A72" s="2">
        <v>35.0</v>
      </c>
      <c r="B72" s="6">
        <v>3.5</v>
      </c>
    </row>
    <row r="73" ht="15.75" customHeight="1">
      <c r="A73" s="2">
        <v>35.5</v>
      </c>
      <c r="B73" s="6">
        <v>3.5</v>
      </c>
    </row>
    <row r="74" ht="15.75" customHeight="1">
      <c r="A74" s="2">
        <v>36.0</v>
      </c>
      <c r="B74" s="6">
        <v>3.6</v>
      </c>
    </row>
    <row r="75" ht="15.75" customHeight="1">
      <c r="A75" s="2">
        <v>36.5</v>
      </c>
      <c r="B75" s="6">
        <v>3.6</v>
      </c>
    </row>
    <row r="76" ht="15.75" customHeight="1">
      <c r="A76" s="2">
        <v>37.0</v>
      </c>
      <c r="B76" s="6">
        <v>3.6</v>
      </c>
    </row>
    <row r="77" ht="15.75" customHeight="1">
      <c r="A77" s="2">
        <v>37.5</v>
      </c>
      <c r="B77" s="6">
        <v>3.7</v>
      </c>
    </row>
    <row r="78" ht="15.75" customHeight="1">
      <c r="A78" s="2">
        <v>38.0</v>
      </c>
      <c r="B78" s="6">
        <v>3.7</v>
      </c>
    </row>
    <row r="79" ht="15.75" customHeight="1">
      <c r="A79" s="2">
        <v>38.5</v>
      </c>
      <c r="B79" s="6">
        <v>3.8</v>
      </c>
    </row>
    <row r="80" ht="15.75" customHeight="1">
      <c r="A80" s="2">
        <v>39.0</v>
      </c>
      <c r="B80" s="6">
        <v>3.8</v>
      </c>
    </row>
    <row r="81" ht="15.75" customHeight="1">
      <c r="A81" s="2">
        <v>39.5</v>
      </c>
      <c r="B81" s="6">
        <v>3.8</v>
      </c>
    </row>
    <row r="82" ht="15.75" customHeight="1">
      <c r="A82" s="2">
        <v>40.0</v>
      </c>
      <c r="B82" s="6">
        <v>3.9</v>
      </c>
    </row>
    <row r="83" ht="15.75" customHeight="1">
      <c r="A83" s="2">
        <v>40.5</v>
      </c>
      <c r="B83" s="6">
        <v>3.9</v>
      </c>
    </row>
    <row r="84" ht="15.75" customHeight="1">
      <c r="A84" s="2">
        <v>41.0</v>
      </c>
      <c r="B84" s="6">
        <v>3.9</v>
      </c>
    </row>
    <row r="85" ht="15.75" customHeight="1">
      <c r="A85" s="2">
        <v>41.5</v>
      </c>
      <c r="B85" s="6">
        <v>4.0</v>
      </c>
    </row>
    <row r="86" ht="15.75" customHeight="1">
      <c r="A86" s="2">
        <v>42.0</v>
      </c>
      <c r="B86" s="6">
        <v>4.0</v>
      </c>
    </row>
    <row r="87" ht="15.75" customHeight="1">
      <c r="A87" s="2">
        <v>42.5</v>
      </c>
      <c r="B87" s="6">
        <v>4.1</v>
      </c>
    </row>
    <row r="88" ht="15.75" customHeight="1">
      <c r="A88" s="2">
        <v>43.0</v>
      </c>
      <c r="B88" s="6">
        <v>4.1</v>
      </c>
    </row>
    <row r="89" ht="15.75" customHeight="1">
      <c r="A89" s="2">
        <v>43.5</v>
      </c>
      <c r="B89" s="6">
        <v>4.2</v>
      </c>
    </row>
    <row r="90" ht="15.75" customHeight="1">
      <c r="A90" s="2">
        <v>44.0</v>
      </c>
      <c r="B90" s="6">
        <v>4.2</v>
      </c>
    </row>
    <row r="91" ht="15.75" customHeight="1">
      <c r="A91" s="2">
        <v>44.5</v>
      </c>
      <c r="B91" s="6">
        <v>4.3</v>
      </c>
    </row>
    <row r="92" ht="15.75" customHeight="1">
      <c r="A92" s="2">
        <v>45.0</v>
      </c>
      <c r="B92" s="6">
        <v>4.3</v>
      </c>
    </row>
    <row r="93" ht="15.75" customHeight="1">
      <c r="A93" s="2">
        <v>45.5</v>
      </c>
      <c r="B93" s="6">
        <v>4.4</v>
      </c>
    </row>
    <row r="94" ht="15.75" customHeight="1">
      <c r="A94" s="2">
        <v>46.0</v>
      </c>
      <c r="B94" s="6">
        <v>4.4</v>
      </c>
    </row>
    <row r="95" ht="15.75" customHeight="1">
      <c r="A95" s="2">
        <v>46.5</v>
      </c>
      <c r="B95" s="6">
        <v>4.5</v>
      </c>
    </row>
    <row r="96" ht="15.75" customHeight="1">
      <c r="A96" s="2">
        <v>47.0</v>
      </c>
      <c r="B96" s="6">
        <v>4.5</v>
      </c>
    </row>
    <row r="97" ht="15.75" customHeight="1">
      <c r="A97" s="2">
        <v>47.5</v>
      </c>
      <c r="B97" s="6">
        <v>4.6</v>
      </c>
    </row>
    <row r="98" ht="15.75" customHeight="1">
      <c r="A98" s="2">
        <v>48.0</v>
      </c>
      <c r="B98" s="6">
        <v>4.6</v>
      </c>
    </row>
    <row r="99" ht="15.75" customHeight="1">
      <c r="A99" s="2">
        <v>48.5</v>
      </c>
      <c r="B99" s="6">
        <v>4.7</v>
      </c>
    </row>
    <row r="100" ht="15.75" customHeight="1">
      <c r="A100" s="2">
        <v>49.0</v>
      </c>
      <c r="B100" s="6">
        <v>4.8</v>
      </c>
    </row>
    <row r="101" ht="15.75" customHeight="1">
      <c r="A101" s="2">
        <v>49.5</v>
      </c>
      <c r="B101" s="6">
        <v>4.8</v>
      </c>
    </row>
    <row r="102" ht="15.75" customHeight="1">
      <c r="A102" s="2">
        <v>50.0</v>
      </c>
      <c r="B102" s="6">
        <v>4.9</v>
      </c>
    </row>
    <row r="103" ht="15.75" customHeight="1">
      <c r="A103" s="2">
        <v>50.5</v>
      </c>
      <c r="B103" s="6">
        <v>4.9</v>
      </c>
    </row>
    <row r="104" ht="15.75" customHeight="1">
      <c r="A104" s="2">
        <v>51.0</v>
      </c>
      <c r="B104" s="6">
        <v>5.0</v>
      </c>
    </row>
    <row r="105" ht="15.75" customHeight="1">
      <c r="A105" s="2">
        <v>51.5</v>
      </c>
      <c r="B105" s="6">
        <v>5.0</v>
      </c>
    </row>
    <row r="106" ht="15.75" customHeight="1">
      <c r="A106" s="2">
        <v>52.0</v>
      </c>
      <c r="B106" s="6">
        <v>5.1</v>
      </c>
    </row>
    <row r="107" ht="15.75" customHeight="1">
      <c r="A107" s="2">
        <v>52.5</v>
      </c>
      <c r="B107" s="6">
        <v>5.1</v>
      </c>
    </row>
    <row r="108" ht="15.75" customHeight="1">
      <c r="A108" s="2">
        <v>53.0</v>
      </c>
      <c r="B108" s="6">
        <v>5.2</v>
      </c>
    </row>
    <row r="109" ht="15.75" customHeight="1">
      <c r="A109" s="2">
        <v>53.5</v>
      </c>
      <c r="B109" s="6">
        <v>5.2</v>
      </c>
    </row>
    <row r="110" ht="15.75" customHeight="1">
      <c r="A110" s="2">
        <v>54.0</v>
      </c>
      <c r="B110" s="6">
        <v>5.3</v>
      </c>
    </row>
    <row r="111" ht="15.75" customHeight="1">
      <c r="A111" s="2">
        <v>54.5</v>
      </c>
      <c r="B111" s="6">
        <v>5.3</v>
      </c>
    </row>
    <row r="112" ht="15.75" customHeight="1">
      <c r="A112" s="2">
        <v>55.0</v>
      </c>
      <c r="B112" s="6">
        <v>5.4</v>
      </c>
    </row>
    <row r="113" ht="15.75" customHeight="1">
      <c r="A113" s="2">
        <v>55.5</v>
      </c>
      <c r="B113" s="6">
        <v>5.4</v>
      </c>
    </row>
    <row r="114" ht="15.75" customHeight="1">
      <c r="A114" s="2">
        <v>56.0</v>
      </c>
      <c r="B114" s="6">
        <v>5.5</v>
      </c>
    </row>
    <row r="115" ht="15.75" customHeight="1">
      <c r="A115" s="2">
        <v>56.5</v>
      </c>
      <c r="B115" s="6">
        <v>5.6</v>
      </c>
    </row>
    <row r="116" ht="15.75" customHeight="1">
      <c r="A116" s="2">
        <v>57.0</v>
      </c>
      <c r="B116" s="6">
        <v>5.6</v>
      </c>
    </row>
    <row r="117" ht="15.75" customHeight="1">
      <c r="A117" s="2">
        <v>57.5</v>
      </c>
      <c r="B117" s="6">
        <v>5.7</v>
      </c>
    </row>
    <row r="118" ht="15.75" customHeight="1">
      <c r="A118" s="2">
        <v>58.0</v>
      </c>
      <c r="B118" s="6">
        <v>5.7</v>
      </c>
    </row>
    <row r="119" ht="15.75" customHeight="1">
      <c r="A119" s="2">
        <v>58.5</v>
      </c>
      <c r="B119" s="6">
        <v>5.8</v>
      </c>
    </row>
    <row r="120" ht="15.75" customHeight="1">
      <c r="A120" s="2">
        <v>59.0</v>
      </c>
      <c r="B120" s="6">
        <v>5.8</v>
      </c>
    </row>
    <row r="121" ht="15.75" customHeight="1">
      <c r="A121" s="2">
        <v>59.5</v>
      </c>
      <c r="B121" s="6">
        <v>5.9</v>
      </c>
    </row>
    <row r="122" ht="15.75" customHeight="1">
      <c r="A122" s="2">
        <v>60.0</v>
      </c>
      <c r="B122" s="6">
        <v>5.9</v>
      </c>
    </row>
    <row r="123" ht="15.75" customHeight="1">
      <c r="A123" s="2">
        <v>60.5</v>
      </c>
      <c r="B123" s="6">
        <v>6.0</v>
      </c>
    </row>
    <row r="124" ht="15.75" customHeight="1">
      <c r="A124" s="2">
        <v>61.0</v>
      </c>
      <c r="B124" s="6">
        <v>6.0</v>
      </c>
    </row>
    <row r="125" ht="15.75" customHeight="1">
      <c r="A125" s="2">
        <v>61.5</v>
      </c>
      <c r="B125" s="6">
        <v>6.1</v>
      </c>
    </row>
    <row r="126" ht="15.75" customHeight="1">
      <c r="A126" s="2">
        <v>62.0</v>
      </c>
      <c r="B126" s="6">
        <v>6.1</v>
      </c>
    </row>
    <row r="127" ht="15.75" customHeight="1">
      <c r="A127" s="2">
        <v>62.5</v>
      </c>
      <c r="B127" s="6">
        <v>6.2</v>
      </c>
    </row>
    <row r="128" ht="15.75" customHeight="1">
      <c r="A128" s="2">
        <v>63.0</v>
      </c>
      <c r="B128" s="6">
        <v>6.3</v>
      </c>
    </row>
    <row r="129" ht="15.75" customHeight="1">
      <c r="A129" s="2">
        <v>63.5</v>
      </c>
      <c r="B129" s="6">
        <v>6.3</v>
      </c>
    </row>
    <row r="130" ht="15.75" customHeight="1">
      <c r="A130" s="2">
        <v>64.0</v>
      </c>
      <c r="B130" s="6">
        <v>6.4</v>
      </c>
    </row>
    <row r="131" ht="15.75" customHeight="1">
      <c r="A131" s="2">
        <v>64.5</v>
      </c>
      <c r="B131" s="6">
        <v>6.4</v>
      </c>
    </row>
    <row r="132" ht="15.75" customHeight="1">
      <c r="A132" s="2">
        <v>65.0</v>
      </c>
      <c r="B132" s="6">
        <v>6.5</v>
      </c>
    </row>
    <row r="133" ht="15.75" customHeight="1">
      <c r="A133" s="2">
        <v>65.5</v>
      </c>
      <c r="B133" s="6">
        <v>6.5</v>
      </c>
    </row>
    <row r="134" ht="15.75" customHeight="1">
      <c r="A134" s="2">
        <v>66.0</v>
      </c>
      <c r="B134" s="6">
        <v>6.6</v>
      </c>
    </row>
    <row r="135" ht="15.75" customHeight="1">
      <c r="A135" s="2">
        <v>66.5</v>
      </c>
      <c r="B135" s="6">
        <v>6.6</v>
      </c>
    </row>
    <row r="136" ht="15.75" customHeight="1">
      <c r="A136" s="2">
        <v>67.0</v>
      </c>
      <c r="B136" s="6">
        <v>6.7</v>
      </c>
    </row>
    <row r="137" ht="15.75" customHeight="1">
      <c r="A137" s="2">
        <v>67.5</v>
      </c>
      <c r="B137" s="6">
        <v>6.7</v>
      </c>
    </row>
    <row r="138" ht="15.75" customHeight="1">
      <c r="A138" s="2">
        <v>68.0</v>
      </c>
      <c r="B138" s="6">
        <v>6.8</v>
      </c>
    </row>
    <row r="139" ht="15.75" customHeight="1">
      <c r="A139" s="2">
        <v>68.5</v>
      </c>
      <c r="B139" s="6">
        <v>6.8</v>
      </c>
    </row>
    <row r="140" ht="15.75" customHeight="1">
      <c r="A140" s="2">
        <v>69.0</v>
      </c>
      <c r="B140" s="6">
        <v>6.9</v>
      </c>
    </row>
    <row r="141" ht="15.75" customHeight="1">
      <c r="A141" s="2">
        <v>69.5</v>
      </c>
      <c r="B141" s="6">
        <v>6.9</v>
      </c>
    </row>
    <row r="142" ht="15.75" customHeight="1">
      <c r="A142" s="2">
        <v>70.0</v>
      </c>
      <c r="B142" s="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2</v>
      </c>
      <c r="B1" s="2" t="s">
        <v>4</v>
      </c>
    </row>
    <row r="2">
      <c r="A2" s="2">
        <v>0.0</v>
      </c>
      <c r="B2" s="10">
        <v>1.0</v>
      </c>
    </row>
    <row r="3">
      <c r="A3" s="2">
        <v>1.0</v>
      </c>
      <c r="B3" s="10">
        <v>1.1</v>
      </c>
    </row>
    <row r="4">
      <c r="A4" s="2">
        <v>2.0</v>
      </c>
      <c r="B4" s="10">
        <v>1.2</v>
      </c>
    </row>
    <row r="5">
      <c r="A5" s="2">
        <v>3.0</v>
      </c>
      <c r="B5" s="10">
        <v>1.3</v>
      </c>
    </row>
    <row r="6">
      <c r="A6" s="2">
        <v>4.0</v>
      </c>
      <c r="B6" s="10">
        <v>1.4</v>
      </c>
    </row>
    <row r="7">
      <c r="A7" s="2">
        <v>5.0</v>
      </c>
      <c r="B7" s="10">
        <v>1.5</v>
      </c>
    </row>
    <row r="8">
      <c r="A8" s="2">
        <v>6.0</v>
      </c>
      <c r="B8" s="10">
        <v>1.6</v>
      </c>
    </row>
    <row r="9">
      <c r="A9" s="2">
        <v>7.0</v>
      </c>
      <c r="B9" s="10">
        <v>1.7</v>
      </c>
    </row>
    <row r="10">
      <c r="A10" s="2">
        <v>8.0</v>
      </c>
      <c r="B10" s="10">
        <v>1.8</v>
      </c>
    </row>
    <row r="11">
      <c r="A11" s="2">
        <v>9.0</v>
      </c>
      <c r="B11" s="10">
        <v>1.9</v>
      </c>
    </row>
    <row r="12">
      <c r="A12" s="2">
        <v>10.0</v>
      </c>
      <c r="B12" s="10">
        <v>2.0</v>
      </c>
    </row>
    <row r="13">
      <c r="A13" s="2">
        <v>11.0</v>
      </c>
      <c r="B13" s="10">
        <v>2.1</v>
      </c>
    </row>
    <row r="14">
      <c r="A14" s="2">
        <v>12.0</v>
      </c>
      <c r="B14" s="10">
        <v>2.2</v>
      </c>
    </row>
    <row r="15">
      <c r="A15" s="2">
        <v>13.0</v>
      </c>
      <c r="B15" s="10">
        <v>2.3</v>
      </c>
    </row>
    <row r="16">
      <c r="A16" s="2">
        <v>14.0</v>
      </c>
      <c r="B16" s="10">
        <v>2.3</v>
      </c>
    </row>
    <row r="17">
      <c r="A17" s="2">
        <v>15.0</v>
      </c>
      <c r="B17" s="10">
        <v>2.4</v>
      </c>
    </row>
    <row r="18">
      <c r="A18" s="2">
        <v>16.0</v>
      </c>
      <c r="B18" s="10">
        <v>2.5</v>
      </c>
    </row>
    <row r="19">
      <c r="A19" s="2">
        <v>17.0</v>
      </c>
      <c r="B19" s="10">
        <v>2.6</v>
      </c>
    </row>
    <row r="20">
      <c r="A20" s="2">
        <v>18.0</v>
      </c>
      <c r="B20" s="10">
        <v>2.7</v>
      </c>
    </row>
    <row r="21" ht="15.75" customHeight="1">
      <c r="A21" s="2">
        <v>19.0</v>
      </c>
      <c r="B21" s="10">
        <v>2.8</v>
      </c>
    </row>
    <row r="22" ht="15.75" customHeight="1">
      <c r="A22" s="2">
        <v>20.0</v>
      </c>
      <c r="B22" s="10">
        <v>2.9</v>
      </c>
    </row>
    <row r="23" ht="15.75" customHeight="1">
      <c r="A23" s="2">
        <v>21.0</v>
      </c>
      <c r="B23" s="10">
        <v>3.0</v>
      </c>
    </row>
    <row r="24" ht="15.75" customHeight="1">
      <c r="A24" s="2">
        <v>22.0</v>
      </c>
      <c r="B24" s="10">
        <v>3.1</v>
      </c>
    </row>
    <row r="25" ht="15.75" customHeight="1">
      <c r="A25" s="2">
        <v>23.0</v>
      </c>
      <c r="B25" s="10">
        <v>3.2</v>
      </c>
    </row>
    <row r="26" ht="15.75" customHeight="1">
      <c r="A26" s="2">
        <v>24.0</v>
      </c>
      <c r="B26" s="10">
        <v>3.3</v>
      </c>
    </row>
    <row r="27" ht="15.75" customHeight="1">
      <c r="A27" s="2">
        <v>25.0</v>
      </c>
      <c r="B27" s="10">
        <v>3.4</v>
      </c>
    </row>
    <row r="28" ht="15.75" customHeight="1">
      <c r="A28" s="2">
        <v>26.0</v>
      </c>
      <c r="B28" s="10">
        <v>3.5</v>
      </c>
    </row>
    <row r="29" ht="15.75" customHeight="1">
      <c r="A29" s="2">
        <v>27.0</v>
      </c>
      <c r="B29" s="10">
        <v>3.6</v>
      </c>
    </row>
    <row r="30" ht="15.75" customHeight="1">
      <c r="A30" s="2">
        <v>28.0</v>
      </c>
      <c r="B30" s="10">
        <v>3.7</v>
      </c>
    </row>
    <row r="31" ht="15.75" customHeight="1">
      <c r="A31" s="2">
        <v>29.0</v>
      </c>
      <c r="B31" s="10">
        <v>3.8</v>
      </c>
    </row>
    <row r="32" ht="15.75" customHeight="1">
      <c r="A32" s="2">
        <v>30.0</v>
      </c>
      <c r="B32" s="10">
        <v>3.9</v>
      </c>
    </row>
    <row r="33" ht="15.75" customHeight="1">
      <c r="A33" s="2">
        <v>31.0</v>
      </c>
      <c r="B33" s="10">
        <v>4.0</v>
      </c>
    </row>
    <row r="34" ht="15.75" customHeight="1">
      <c r="A34" s="2">
        <v>32.0</v>
      </c>
      <c r="B34" s="10">
        <v>4.1</v>
      </c>
    </row>
    <row r="35" ht="15.75" customHeight="1">
      <c r="A35" s="2">
        <v>33.0</v>
      </c>
      <c r="B35" s="10">
        <v>4.3</v>
      </c>
    </row>
    <row r="36" ht="15.75" customHeight="1">
      <c r="A36" s="2">
        <v>34.0</v>
      </c>
      <c r="B36" s="10">
        <v>4.4</v>
      </c>
    </row>
    <row r="37" ht="15.75" customHeight="1">
      <c r="A37" s="2">
        <v>35.0</v>
      </c>
      <c r="B37" s="10">
        <v>4.5</v>
      </c>
    </row>
    <row r="38" ht="15.75" customHeight="1">
      <c r="A38" s="2">
        <v>36.0</v>
      </c>
      <c r="B38" s="10">
        <v>4.7</v>
      </c>
    </row>
    <row r="39" ht="15.75" customHeight="1">
      <c r="A39" s="2">
        <v>37.0</v>
      </c>
      <c r="B39" s="10">
        <v>4.8</v>
      </c>
    </row>
    <row r="40" ht="15.75" customHeight="1">
      <c r="A40" s="2">
        <v>38.0</v>
      </c>
      <c r="B40" s="10">
        <v>5.0</v>
      </c>
    </row>
    <row r="41" ht="15.75" customHeight="1">
      <c r="A41" s="2">
        <v>39.0</v>
      </c>
      <c r="B41" s="10">
        <v>5.1</v>
      </c>
    </row>
    <row r="42" ht="15.75" customHeight="1">
      <c r="A42" s="2">
        <v>40.0</v>
      </c>
      <c r="B42" s="10">
        <v>5.3</v>
      </c>
    </row>
    <row r="43" ht="15.75" customHeight="1">
      <c r="A43" s="2">
        <v>41.0</v>
      </c>
      <c r="B43" s="10">
        <v>5.4</v>
      </c>
    </row>
    <row r="44" ht="15.75" customHeight="1">
      <c r="A44" s="2">
        <v>42.0</v>
      </c>
      <c r="B44" s="10">
        <v>5.6</v>
      </c>
    </row>
    <row r="45" ht="15.75" customHeight="1">
      <c r="A45" s="2">
        <v>43.0</v>
      </c>
      <c r="B45" s="10">
        <v>5.7</v>
      </c>
    </row>
    <row r="46" ht="15.75" customHeight="1">
      <c r="A46" s="2">
        <v>44.0</v>
      </c>
      <c r="B46" s="10">
        <v>5.8</v>
      </c>
    </row>
    <row r="47" ht="15.75" customHeight="1">
      <c r="A47" s="2">
        <v>45.0</v>
      </c>
      <c r="B47" s="10">
        <v>6.0</v>
      </c>
    </row>
    <row r="48" ht="15.75" customHeight="1">
      <c r="A48" s="2">
        <v>46.0</v>
      </c>
      <c r="B48" s="10">
        <v>6.1</v>
      </c>
    </row>
    <row r="49" ht="15.75" customHeight="1">
      <c r="A49" s="2">
        <v>47.0</v>
      </c>
      <c r="B49" s="10">
        <v>6.3</v>
      </c>
    </row>
    <row r="50" ht="15.75" customHeight="1">
      <c r="A50" s="2">
        <v>48.0</v>
      </c>
      <c r="B50" s="10">
        <v>6.4</v>
      </c>
    </row>
    <row r="51" ht="15.75" customHeight="1">
      <c r="A51" s="2">
        <v>49.0</v>
      </c>
      <c r="B51" s="10">
        <v>6.6</v>
      </c>
    </row>
    <row r="52" ht="15.75" customHeight="1">
      <c r="A52" s="2">
        <v>50.0</v>
      </c>
      <c r="B52" s="10">
        <v>6.7</v>
      </c>
    </row>
    <row r="53" ht="15.75" customHeight="1">
      <c r="A53" s="2">
        <v>51.0</v>
      </c>
      <c r="B53" s="10">
        <v>6.9</v>
      </c>
    </row>
    <row r="54" ht="15.75" customHeight="1">
      <c r="A54" s="2">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5</v>
      </c>
    </row>
    <row r="2">
      <c r="A2" s="2">
        <v>0.0</v>
      </c>
      <c r="B2" s="6">
        <v>1.0</v>
      </c>
    </row>
    <row r="3">
      <c r="A3" s="2">
        <v>0.5</v>
      </c>
      <c r="B3" s="6">
        <v>1.1</v>
      </c>
    </row>
    <row r="4">
      <c r="A4" s="2">
        <v>1.0</v>
      </c>
      <c r="B4" s="6">
        <v>1.2</v>
      </c>
    </row>
    <row r="5">
      <c r="A5" s="2">
        <v>1.5</v>
      </c>
      <c r="B5" s="6">
        <v>1.3</v>
      </c>
    </row>
    <row r="6">
      <c r="A6" s="2">
        <v>2.0</v>
      </c>
      <c r="B6" s="6">
        <v>1.3</v>
      </c>
    </row>
    <row r="7">
      <c r="A7" s="2">
        <v>2.5</v>
      </c>
      <c r="B7" s="6">
        <v>1.4</v>
      </c>
    </row>
    <row r="8">
      <c r="A8" s="2">
        <v>3.0</v>
      </c>
      <c r="B8" s="6">
        <v>1.5</v>
      </c>
    </row>
    <row r="9">
      <c r="A9" s="2">
        <v>3.5</v>
      </c>
      <c r="B9" s="6">
        <v>1.6</v>
      </c>
    </row>
    <row r="10">
      <c r="A10" s="2">
        <v>4.0</v>
      </c>
      <c r="B10" s="6">
        <v>1.7</v>
      </c>
    </row>
    <row r="11">
      <c r="A11" s="2">
        <v>4.5</v>
      </c>
      <c r="B11" s="6">
        <v>1.8</v>
      </c>
    </row>
    <row r="12">
      <c r="A12" s="2">
        <v>5.0</v>
      </c>
      <c r="B12" s="6">
        <v>1.8</v>
      </c>
    </row>
    <row r="13">
      <c r="A13" s="2">
        <v>5.5</v>
      </c>
      <c r="B13" s="6">
        <v>1.9</v>
      </c>
    </row>
    <row r="14">
      <c r="A14" s="2">
        <v>6.0</v>
      </c>
      <c r="B14" s="6">
        <v>2.0</v>
      </c>
    </row>
    <row r="15">
      <c r="A15" s="2">
        <v>6.5</v>
      </c>
      <c r="B15" s="6">
        <v>2.1</v>
      </c>
    </row>
    <row r="16">
      <c r="A16" s="2">
        <v>7.0</v>
      </c>
      <c r="B16" s="6">
        <v>2.2</v>
      </c>
    </row>
    <row r="17">
      <c r="A17" s="2">
        <v>7.5</v>
      </c>
      <c r="B17" s="6">
        <v>2.3</v>
      </c>
    </row>
    <row r="18">
      <c r="A18" s="2">
        <v>8.0</v>
      </c>
      <c r="B18" s="6">
        <v>2.3</v>
      </c>
    </row>
    <row r="19">
      <c r="A19" s="2">
        <v>8.5</v>
      </c>
      <c r="B19" s="6">
        <v>2.4</v>
      </c>
    </row>
    <row r="20">
      <c r="A20" s="2">
        <v>9.0</v>
      </c>
      <c r="B20" s="6">
        <v>2.5</v>
      </c>
    </row>
    <row r="21" ht="15.75" customHeight="1">
      <c r="A21" s="2">
        <v>9.5</v>
      </c>
      <c r="B21" s="6">
        <v>2.6</v>
      </c>
    </row>
    <row r="22" ht="15.75" customHeight="1">
      <c r="A22" s="2">
        <v>10.0</v>
      </c>
      <c r="B22" s="6">
        <v>2.7</v>
      </c>
    </row>
    <row r="23" ht="15.75" customHeight="1">
      <c r="A23" s="2">
        <v>10.5</v>
      </c>
      <c r="B23" s="6">
        <v>2.8</v>
      </c>
    </row>
    <row r="24" ht="15.75" customHeight="1">
      <c r="A24" s="2">
        <v>11.0</v>
      </c>
      <c r="B24" s="6">
        <v>2.8</v>
      </c>
    </row>
    <row r="25" ht="15.75" customHeight="1">
      <c r="A25" s="2">
        <v>11.5</v>
      </c>
      <c r="B25" s="6">
        <v>2.9</v>
      </c>
    </row>
    <row r="26" ht="15.75" customHeight="1">
      <c r="A26" s="2">
        <v>12.0</v>
      </c>
      <c r="B26" s="6">
        <v>3.0</v>
      </c>
    </row>
    <row r="27" ht="15.75" customHeight="1">
      <c r="A27" s="2">
        <v>12.5</v>
      </c>
      <c r="B27" s="6">
        <v>3.1</v>
      </c>
    </row>
    <row r="28" ht="15.75" customHeight="1">
      <c r="A28" s="2">
        <v>13.0</v>
      </c>
      <c r="B28" s="6">
        <v>3.2</v>
      </c>
    </row>
    <row r="29" ht="15.75" customHeight="1">
      <c r="A29" s="2">
        <v>13.5</v>
      </c>
      <c r="B29" s="6">
        <v>3.3</v>
      </c>
    </row>
    <row r="30" ht="15.75" customHeight="1">
      <c r="A30" s="2">
        <v>14.0</v>
      </c>
      <c r="B30" s="6">
        <v>3.3</v>
      </c>
    </row>
    <row r="31" ht="15.75" customHeight="1">
      <c r="A31" s="2">
        <v>14.5</v>
      </c>
      <c r="B31" s="6">
        <v>3.4</v>
      </c>
    </row>
    <row r="32" ht="15.75" customHeight="1">
      <c r="A32" s="2">
        <v>15.0</v>
      </c>
      <c r="B32" s="6">
        <v>3.5</v>
      </c>
    </row>
    <row r="33" ht="15.75" customHeight="1">
      <c r="A33" s="2">
        <v>15.5</v>
      </c>
      <c r="B33" s="6">
        <v>3.6</v>
      </c>
    </row>
    <row r="34" ht="15.75" customHeight="1">
      <c r="A34" s="2">
        <v>16.0</v>
      </c>
      <c r="B34" s="6">
        <v>3.7</v>
      </c>
    </row>
    <row r="35" ht="15.75" customHeight="1">
      <c r="A35" s="2">
        <v>16.5</v>
      </c>
      <c r="B35" s="6">
        <v>3.8</v>
      </c>
    </row>
    <row r="36" ht="15.75" customHeight="1">
      <c r="A36" s="2">
        <v>17.0</v>
      </c>
      <c r="B36" s="6">
        <v>3.8</v>
      </c>
    </row>
    <row r="37" ht="15.75" customHeight="1">
      <c r="A37" s="2">
        <v>17.5</v>
      </c>
      <c r="B37" s="6">
        <v>3.9</v>
      </c>
    </row>
    <row r="38" ht="15.75" customHeight="1">
      <c r="A38" s="2">
        <v>18.0</v>
      </c>
      <c r="B38" s="6">
        <v>4.0</v>
      </c>
    </row>
    <row r="39" ht="15.75" customHeight="1">
      <c r="A39" s="2">
        <v>18.5</v>
      </c>
      <c r="B39" s="6">
        <v>4.1</v>
      </c>
    </row>
    <row r="40" ht="15.75" customHeight="1">
      <c r="A40" s="2">
        <v>19.0</v>
      </c>
      <c r="B40" s="6">
        <v>4.3</v>
      </c>
    </row>
    <row r="41" ht="15.75" customHeight="1">
      <c r="A41" s="2">
        <v>19.5</v>
      </c>
      <c r="B41" s="6">
        <v>4.4</v>
      </c>
    </row>
    <row r="42" ht="15.75" customHeight="1">
      <c r="A42" s="2">
        <v>20.0</v>
      </c>
      <c r="B42" s="6">
        <v>4.5</v>
      </c>
    </row>
    <row r="43" ht="15.75" customHeight="1">
      <c r="A43" s="2">
        <v>20.5</v>
      </c>
      <c r="B43" s="6">
        <v>4.6</v>
      </c>
    </row>
    <row r="44" ht="15.75" customHeight="1">
      <c r="A44" s="2">
        <v>21.0</v>
      </c>
      <c r="B44" s="6">
        <v>4.8</v>
      </c>
    </row>
    <row r="45" ht="15.75" customHeight="1">
      <c r="A45" s="2">
        <v>21.5</v>
      </c>
      <c r="B45" s="6">
        <v>4.9</v>
      </c>
    </row>
    <row r="46" ht="15.75" customHeight="1">
      <c r="A46" s="2">
        <v>22.0</v>
      </c>
      <c r="B46" s="6">
        <v>5.0</v>
      </c>
    </row>
    <row r="47" ht="15.75" customHeight="1">
      <c r="A47" s="2">
        <v>22.5</v>
      </c>
      <c r="B47" s="6">
        <v>5.1</v>
      </c>
    </row>
    <row r="48" ht="15.75" customHeight="1">
      <c r="A48" s="2">
        <v>23.0</v>
      </c>
      <c r="B48" s="6">
        <v>5.3</v>
      </c>
    </row>
    <row r="49" ht="15.75" customHeight="1">
      <c r="A49" s="2">
        <v>23.5</v>
      </c>
      <c r="B49" s="6">
        <v>5.4</v>
      </c>
    </row>
    <row r="50" ht="15.75" customHeight="1">
      <c r="A50" s="2">
        <v>24.0</v>
      </c>
      <c r="B50" s="6">
        <v>5.5</v>
      </c>
    </row>
    <row r="51" ht="15.75" customHeight="1">
      <c r="A51" s="2">
        <v>24.5</v>
      </c>
      <c r="B51" s="6">
        <v>5.6</v>
      </c>
    </row>
    <row r="52" ht="15.75" customHeight="1">
      <c r="A52" s="2">
        <v>25.0</v>
      </c>
      <c r="B52" s="6">
        <v>5.8</v>
      </c>
    </row>
    <row r="53" ht="15.75" customHeight="1">
      <c r="A53" s="2">
        <v>25.5</v>
      </c>
      <c r="B53" s="6">
        <v>5.9</v>
      </c>
    </row>
    <row r="54" ht="15.75" customHeight="1">
      <c r="A54" s="2">
        <v>26.0</v>
      </c>
      <c r="B54" s="6">
        <v>6.0</v>
      </c>
    </row>
    <row r="55" ht="15.75" customHeight="1">
      <c r="A55" s="2">
        <v>26.5</v>
      </c>
      <c r="B55" s="6">
        <v>6.1</v>
      </c>
    </row>
    <row r="56" ht="15.75" customHeight="1">
      <c r="A56" s="2">
        <v>27.0</v>
      </c>
      <c r="B56" s="6">
        <v>6.3</v>
      </c>
    </row>
    <row r="57" ht="15.75" customHeight="1">
      <c r="A57" s="2">
        <v>27.5</v>
      </c>
      <c r="B57" s="6">
        <v>6.4</v>
      </c>
    </row>
    <row r="58" ht="15.75" customHeight="1">
      <c r="A58" s="2">
        <v>28.0</v>
      </c>
      <c r="B58" s="6">
        <v>6.5</v>
      </c>
    </row>
    <row r="59" ht="15.75" customHeight="1">
      <c r="A59" s="2">
        <v>28.5</v>
      </c>
      <c r="B59" s="6">
        <v>6.6</v>
      </c>
    </row>
    <row r="60" ht="15.75" customHeight="1">
      <c r="A60" s="2">
        <v>29.0</v>
      </c>
      <c r="B60" s="6">
        <v>6.8</v>
      </c>
    </row>
    <row r="61" ht="15.75" customHeight="1">
      <c r="A61" s="2">
        <v>29.5</v>
      </c>
      <c r="B61" s="6">
        <v>6.9</v>
      </c>
    </row>
    <row r="62" ht="15.75" customHeight="1">
      <c r="A62" s="2">
        <v>30.0</v>
      </c>
      <c r="B62" s="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92</v>
      </c>
      <c r="B1" s="50" t="s">
        <v>1</v>
      </c>
      <c r="C1" s="51"/>
      <c r="D1" s="51"/>
      <c r="E1" s="52"/>
    </row>
    <row r="2">
      <c r="A2" s="53"/>
      <c r="B2" s="54" t="s">
        <v>89</v>
      </c>
      <c r="C2" s="55" t="s">
        <v>90</v>
      </c>
      <c r="D2" s="55" t="s">
        <v>93</v>
      </c>
      <c r="E2" s="56" t="s">
        <v>13</v>
      </c>
    </row>
    <row r="3">
      <c r="A3" s="57" t="s">
        <v>94</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